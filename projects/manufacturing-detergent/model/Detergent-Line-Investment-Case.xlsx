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96d14e3f3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f99af4df395e4340"/>
    <x:sheet xmlns:r="http://schemas.openxmlformats.org/officeDocument/2006/relationships" name="Inputs" sheetId="2" r:id="Re785f97772c4402e"/>
    <x:sheet xmlns:r="http://schemas.openxmlformats.org/officeDocument/2006/relationships" name="Unit Cost" sheetId="3" r:id="Ra8a1b9720e0545f7"/>
    <x:sheet xmlns:r="http://schemas.openxmlformats.org/officeDocument/2006/relationships" name="Investment" sheetId="4" r:id="Rdf7ccbe731dc414f"/>
    <x:sheet xmlns:r="http://schemas.openxmlformats.org/officeDocument/2006/relationships" name="Evidence" sheetId="5" r:id="R8be534c67e2b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(#,##0);&quot;-&quot;"/>
    <x:numFmt numFmtId="201" formatCode="0.00"/>
    <x:numFmt numFmtId="202" formatCode="0.000"/>
    <x:numFmt numFmtId="203" formatCode="0.0%"/>
    <x:numFmt numFmtId="204" formatCode="&quot;£&quot;0.000;(&quot;£&quot;0.000);&quot;-&quot;"/>
    <x:numFmt numFmtId="205" formatCode="0.0"/>
    <x:numFmt numFmtId="206" formatCode="&quot;£&quot;#,##0;(&quot;£&quot;#,##0);&quot;-&quot;"/>
    <x:numFmt numFmtId="207" formatCode="0.00%"/>
    <x:numFmt numFmtId="208" formatCode="0.00&quot; pp&quot;"/>
    <x:numFmt numFmtId="209" formatCode=";;;"/>
  </x:numFmts>
  <x:fonts count="9">
    <x:font>
      <x:sz val="11"/>
      <x:name val="Carlito"/>
    </x:font>
    <x:font>
      <x:sz val="10"/>
      <x:color rgb="FF111827"/>
      <x:name val="Arial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11827"/>
      <x:name val="Arial"/>
    </x:font>
    <x:font>
      <x:sz val="9"/>
      <x:color rgb="FF111827"/>
      <x:name val="Arial"/>
    </x:font>
    <x:font>
      <x:b/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8EE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6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6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6" fontId="6" fillId="5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8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d1d920d8c4048" /><Relationship Type="http://schemas.openxmlformats.org/officeDocument/2006/relationships/theme" Target="/xl/theme/theme1.xml" Id="Rd858c5df2e7e4e2f" /><Relationship Type="http://schemas.openxmlformats.org/officeDocument/2006/relationships/sharedStrings" Target="/xl/sharedStrings.xml" Id="Rdfaff17c8a354f47" /><Relationship Type="http://schemas.openxmlformats.org/officeDocument/2006/relationships/worksheet" Target="/xl/worksheets/sheet1.xml" Id="Rf99af4df395e4340" /><Relationship Type="http://schemas.openxmlformats.org/officeDocument/2006/relationships/worksheet" Target="/xl/worksheets/sheet2.xml" Id="Re785f97772c4402e" /><Relationship Type="http://schemas.openxmlformats.org/officeDocument/2006/relationships/worksheet" Target="/xl/worksheets/sheet3.xml" Id="Ra8a1b9720e0545f7" /><Relationship Type="http://schemas.openxmlformats.org/officeDocument/2006/relationships/worksheet" Target="/xl/worksheets/sheet4.xml" Id="Rdf7ccbe731dc414f" /><Relationship Type="http://schemas.openxmlformats.org/officeDocument/2006/relationships/worksheet" Target="/xl/worksheets/sheet5.xml" Id="R8be534c67e2b46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b833300aa641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Incremental cash flow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Economic cash flow</c:v>
          </c:tx>
          <c:spPr>
            <a:solidFill xmlns:a="http://schemas.openxmlformats.org/drawingml/2006/main">
              <a:srgbClr val="17365D"/>
            </a:solidFill>
          </c:spPr>
          <c:invertIfNegative val="0"/>
          <c:cat>
            <c:strRef>
              <c:f>'Decision'!$J$7:$J$12</c:f>
              <c:strCache>
                <c:ptCount val="0"/>
              </c:strCache>
            </c:strRef>
          </c:cat>
          <c:val>
            <c:numRef>
              <c:f>'Decision'!$K$7:$K$12</c:f>
              <c:numCache>
                <c:formatCode>"£"#,##0;("£"#,##0);"-"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b833300aa641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628681c4c349d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7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2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1"/>
      <x:c r="B2" s="1"/>
      <x:c r="C2" s="3" t="str">
        <x:v>Detergent line: is loss control worth funding?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1"/>
      <x:c r="B3" s="1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  <x:c r="Q3" s="2"/>
    </x:row>
    <x:row r="4" ht="30" customHeight="1">
      <x:c r="A4" s="1"/>
      <x:c r="B4" s="1"/>
      <x:c r="C4" s="5" t="str">
        <x:v>Independent portfolio study. Hypothetical UK line, GBP. The earlier EUR100m example is a separate teaching model.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2"/>
      <x:c r="O4" s="2"/>
      <x:c r="P4" s="2"/>
      <x:c r="Q4" s="2"/>
    </x:row>
    <x:row r="5" ht="22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1"/>
      <x:c r="B6" s="1"/>
      <x:c r="C6" s="2" t="str">
        <x:v>Decision</x:v>
      </x:c>
      <x:c r="D6" s="34" t="str">
        <x:f>IF(COUNTIFS('Evidence'!D31:D36,"Verified")&lt;6,"Pilot and quotations required",IF('Investment'!D44&gt;0,"Ready for capital review","Revise investment proposal"))</x:f>
        <x:v>Pilot and quotations required</x:v>
      </x:c>
      <x:c r="E6" s="34"/>
      <x:c r="F6" s="34"/>
      <x:c r="G6" s="34"/>
      <x:c r="H6" s="34"/>
      <x:c r="I6" s="2"/>
      <x:c r="J6" s="2" t="str">
        <x:v>Year</x:v>
      </x:c>
      <x:c r="K6" s="2" t="str">
        <x:v>Economic cash flow</x:v>
      </x:c>
      <x:c r="L6" s="2"/>
      <x:c r="M6" s="2"/>
      <x:c r="N6" s="2"/>
      <x:c r="O6" s="2"/>
      <x:c r="P6" s="2"/>
      <x:c r="Q6" s="2"/>
    </x:row>
    <x:row r="7" ht="22" customHeight="1">
      <x:c r="A7" s="1"/>
      <x:c r="B7" s="1"/>
      <x:c r="C7" s="2"/>
      <x:c r="D7" s="2"/>
      <x:c r="E7" s="2"/>
      <x:c r="F7" s="2"/>
      <x:c r="G7" s="2"/>
      <x:c r="H7" s="2"/>
      <x:c r="I7" s="2"/>
      <x:c r="J7" s="2" t="str">
        <x:v>Year 0</x:v>
      </x:c>
      <x:c r="K7" s="26" t="n">
        <x:f>'Investment'!G15</x:f>
        <x:v>-117766.73030098948</x:v>
      </x:c>
      <x:c r="L7" s="2"/>
      <x:c r="M7" s="2"/>
      <x:c r="N7" s="2"/>
      <x:c r="O7" s="2"/>
      <x:c r="P7" s="2"/>
      <x:c r="Q7" s="2"/>
    </x:row>
    <x:row r="8" ht="22" customHeight="1">
      <x:c r="A8" s="1"/>
      <x:c r="B8" s="1"/>
      <x:c r="C8" s="2" t="str">
        <x:v>Saleable one-litre bottles/year</x:v>
      </x:c>
      <x:c r="D8" s="22" t="n">
        <x:f>'Unit Cost'!D9</x:f>
        <x:v>10000000</x:v>
      </x:c>
      <x:c r="E8" s="2"/>
      <x:c r="F8" s="2"/>
      <x:c r="G8" s="2"/>
      <x:c r="H8" s="2"/>
      <x:c r="I8" s="2"/>
      <x:c r="J8" s="2" t="str">
        <x:v>Year 1</x:v>
      </x:c>
      <x:c r="K8" s="26" t="n">
        <x:f>'Investment'!H15</x:f>
        <x:v>24602.382705658674</x:v>
      </x:c>
      <x:c r="L8" s="2"/>
      <x:c r="M8" s="2"/>
      <x:c r="N8" s="2"/>
      <x:c r="O8" s="2"/>
      <x:c r="P8" s="2"/>
      <x:c r="Q8" s="2"/>
    </x:row>
    <x:row r="9" ht="22" customHeight="1">
      <x:c r="A9" s="1"/>
      <x:c r="B9" s="1"/>
      <x:c r="C9" s="2" t="str">
        <x:v>Baseline production cost / bottle</x:v>
      </x:c>
      <x:c r="D9" s="29" t="n">
        <x:f>'Unit Cost'!D45</x:f>
        <x:v>0.9066634849505257</x:v>
      </x:c>
      <x:c r="E9" s="2"/>
      <x:c r="F9" s="2"/>
      <x:c r="G9" s="2"/>
      <x:c r="H9" s="2"/>
      <x:c r="I9" s="2"/>
      <x:c r="J9" s="2" t="str">
        <x:v>Year 2</x:v>
      </x:c>
      <x:c r="K9" s="26" t="n">
        <x:f>'Investment'!I15</x:f>
        <x:v>49204.76541131735</x:v>
      </x:c>
      <x:c r="L9" s="2"/>
      <x:c r="M9" s="2"/>
      <x:c r="N9" s="2"/>
      <x:c r="O9" s="2"/>
      <x:c r="P9" s="2"/>
      <x:c r="Q9" s="2"/>
    </x:row>
    <x:row r="10" ht="22" customHeight="1">
      <x:c r="A10" s="1"/>
      <x:c r="B10" s="1"/>
      <x:c r="C10" s="2" t="str">
        <x:v>Full proposal production cost / bottle</x:v>
      </x:c>
      <x:c r="D10" s="29" t="n">
        <x:f>'Unit Cost'!E67</x:f>
        <x:v>0.903583008409394</x:v>
      </x:c>
      <x:c r="E10" s="2"/>
      <x:c r="F10" s="2"/>
      <x:c r="G10" s="2"/>
      <x:c r="H10" s="2"/>
      <x:c r="I10" s="2"/>
      <x:c r="J10" s="2" t="str">
        <x:v>Year 3</x:v>
      </x:c>
      <x:c r="K10" s="26" t="n">
        <x:f>'Investment'!J15</x:f>
        <x:v>49204.76541131735</x:v>
      </x:c>
      <x:c r="L10" s="2"/>
      <x:c r="M10" s="2"/>
      <x:c r="N10" s="2"/>
      <x:c r="O10" s="2"/>
      <x:c r="P10" s="2"/>
      <x:c r="Q10" s="2"/>
    </x:row>
    <x:row r="11" ht="22" customHeight="1">
      <x:c r="A11" s="1"/>
      <x:c r="B11" s="1"/>
      <x:c r="C11" s="2" t="str">
        <x:v>Baseline production cost / tonne</x:v>
      </x:c>
      <x:c r="D11" s="26" t="n">
        <x:f>'Unit Cost'!D46</x:f>
        <x:v>880.2558106315784</x:v>
      </x:c>
      <x:c r="E11" s="2"/>
      <x:c r="F11" s="2"/>
      <x:c r="G11" s="2"/>
      <x:c r="H11" s="2"/>
      <x:c r="I11" s="2"/>
      <x:c r="J11" s="2" t="str">
        <x:v>Year 4</x:v>
      </x:c>
      <x:c r="K11" s="26" t="n">
        <x:f>'Investment'!K15</x:f>
        <x:v>49204.76541131735</x:v>
      </x:c>
      <x:c r="L11" s="2"/>
      <x:c r="M11" s="2"/>
      <x:c r="N11" s="2"/>
      <x:c r="O11" s="2"/>
      <x:c r="P11" s="2"/>
      <x:c r="Q11" s="2"/>
    </x:row>
    <x:row r="12" ht="22" customHeight="1">
      <x:c r="A12" s="1"/>
      <x:c r="B12" s="1"/>
      <x:c r="C12" s="2" t="str">
        <x:v>Full proposal production cost / tonne</x:v>
      </x:c>
      <x:c r="D12" s="26" t="n">
        <x:f>'Unit Cost'!E68</x:f>
        <x:v>877.2650567081495</x:v>
      </x:c>
      <x:c r="E12" s="2"/>
      <x:c r="F12" s="2"/>
      <x:c r="G12" s="2"/>
      <x:c r="H12" s="2"/>
      <x:c r="I12" s="2"/>
      <x:c r="J12" s="2" t="str">
        <x:v>Year 5</x:v>
      </x:c>
      <x:c r="K12" s="26" t="n">
        <x:f>'Investment'!L15</x:f>
        <x:v>49204.76541131735</x:v>
      </x:c>
      <x:c r="L12" s="2"/>
      <x:c r="M12" s="2"/>
      <x:c r="N12" s="2"/>
      <x:c r="O12" s="2"/>
      <x:c r="P12" s="2"/>
      <x:c r="Q12" s="2"/>
    </x:row>
    <x:row r="13" ht="22" customHeight="1">
      <x:c r="A13" s="1"/>
      <x:c r="B13" s="1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1"/>
      <x:c r="B14" s="1"/>
      <x:c r="C14" s="2" t="str">
        <x:v>Liquid input avoided (kg/year)</x:v>
      </x:c>
      <x:c r="D14" s="22" t="n">
        <x:f>'Unit Cost'!E54</x:f>
        <x:v>108352.61939827539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1"/>
      <x:c r="B15" s="1"/>
      <x:c r="C15" s="2" t="str">
        <x:v>Annual gross operating saving</x:v>
      </x:c>
      <x:c r="D15" s="26" t="n">
        <x:f>'Investment'!D33</x:f>
        <x:v>57204.76541131735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1"/>
      <x:c r="B16" s="1"/>
      <x:c r="C16" s="34" t="str">
        <x:v>Annual net recurring cash saving</x:v>
      </x:c>
      <x:c r="D16" s="35" t="n">
        <x:f>'Investment'!D35</x:f>
        <x:v>49204.76541131735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1"/>
      <x:c r="B17" s="1"/>
      <x:c r="C17" s="2" t="str">
        <x:v>Initial economic outflow</x:v>
      </x:c>
      <x:c r="D17" s="26" t="n">
        <x:f>'Investment'!D32</x:f>
        <x:v>117766.73030098948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1"/>
      <x:c r="B18" s="1"/>
      <x:c r="C18" s="34" t="str">
        <x:v>Five-year NPV at selected discount rate</x:v>
      </x:c>
      <x:c r="D18" s="35" t="n">
        <x:f>'Investment'!D44</x:f>
        <x:v>46392.240952389024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1"/>
      <x:c r="B19" s="1"/>
      <x:c r="C19" s="2" t="str">
        <x:v>Payback after start (months)</x:v>
      </x:c>
      <x:c r="D19" s="36" t="n">
        <x:f>'Investment'!D38</x:f>
        <x:v>28.72081091736758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1"/>
      <x:c r="B20" s="1"/>
      <x:c r="C20" s="2" t="str">
        <x:v>Payback incl. preparation (months)</x:v>
      </x:c>
      <x:c r="D20" s="36" t="n">
        <x:f>'Investment'!D39</x:f>
        <x:v>34.72081091736758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1"/>
      <x:c r="B22" s="1"/>
      <x:c r="C22" s="2" t="str">
        <x:v>Highest target loss rate at NPV zero</x:v>
      </x:c>
      <x:c r="D22" s="48" t="n">
        <x:f>'Investment'!D49</x:f>
        <x:v>0.02244975718372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1"/>
      <x:c r="B23" s="1"/>
      <x:c r="C23" s="2" t="str">
        <x:v>Maximum equipment budget at NPV zero</x:v>
      </x:c>
      <x:c r="D23" s="26" t="n">
        <x:f>'Investment'!D46</x:f>
        <x:v>100341.07908903394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1"/>
      <x:c r="B25" s="1"/>
      <x:c r="C25" s="2" t="str">
        <x:v>Year 1 operating profit benefit</x:v>
      </x:c>
      <x:c r="D25" s="26" t="n">
        <x:f>'Investment'!D42</x:f>
        <x:v>-10364.347595330808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1"/>
      <x:c r="B26" s="1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30" customHeight="1">
      <x:c r="A29" s="1"/>
      <x:c r="B29" s="1"/>
      <x:c r="C29" s="5" t="str">
        <x:v>Recommendation: fund a limited trial and obtain quotations before seeking full capital approval.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2"/>
      <x:c r="O29" s="2"/>
      <x:c r="P29" s="2"/>
      <x:c r="Q29" s="2"/>
    </x:row>
    <x:row r="30" ht="30" customHeight="1">
      <x:c r="A30" s="1"/>
      <x:c r="B30" s="1"/>
      <x:c r="C30" s="5" t="str">
        <x:v>A positive NPV is conditional on the assumed waste reduction and cost estimates, not proof of achievable savings.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2"/>
      <x:c r="O30" s="2"/>
      <x:c r="P30" s="2"/>
      <x:c r="Q30" s="2"/>
    </x:row>
    <x:row r="31" ht="22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30" customHeight="1">
      <x:c r="A32" s="1"/>
      <x:c r="B32" s="1"/>
      <x:c r="C32" s="5" t="str">
        <x:v>Baseline loss is 3% of input; the proposal assumes 2%. This is a 1 percentage-point fall, not a 1% relative fall.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2"/>
      <x:c r="O32" s="2"/>
      <x:c r="P32" s="2"/>
      <x:c r="Q32" s="2"/>
    </x:row>
    <x:row r="33" ht="30" customHeight="1">
      <x:c r="A33" s="1"/>
      <x:c r="B33" s="1"/>
      <x:c r="C33" s="5" t="str">
        <x:v>Unilever reports dosing savings on premium ingredients. That supports the mechanism, not our total-loss target.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2"/>
      <x:c r="O33" s="2"/>
      <x:c r="P33" s="2"/>
      <x:c r="Q33" s="2"/>
    </x:row>
    <x:row r="34" ht="22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30" customHeight="1">
      <x:c r="A35" s="1"/>
      <x:c r="B35" s="1"/>
      <x:c r="C35" s="5" t="str">
        <x:v>Try this: raise Investment D8 from 2% to 2.5%. Check whether the investment still earns a positive NPV.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2"/>
      <x:c r="O35" s="2"/>
      <x:c r="P35" s="2"/>
      <x:c r="Q35" s="2"/>
    </x:row>
    <x:row r="36" ht="30" customHeight="1">
      <x:c r="A36" s="1"/>
      <x:c r="B36" s="1"/>
      <x:c r="C36" s="5" t="str">
        <x:v>Then restore 2%. Increase equipment budget in Investment D9 and observe the NPV and payback.</x:v>
      </x:c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2"/>
      <x:c r="O36" s="2"/>
      <x:c r="P36" s="2"/>
      <x:c r="Q36" s="2"/>
    </x:row>
    <x:row r="37" ht="22" customHeight="1">
      <x:c r="A37" s="1"/>
      <x:c r="B37" s="1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30" customHeight="1">
      <x:c r="A38" s="1"/>
      <x:c r="B38" s="1"/>
      <x:c r="C38" s="5" t="str">
        <x:v>The proposal does not claim payroll savings, extra sales or working-capital release. Price and saleable output stay fixed.</x:v>
      </x:c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2"/>
      <x:c r="O38" s="2"/>
      <x:c r="P38" s="2"/>
      <x:c r="Q38" s="2"/>
    </x:row>
    <x:row r="39" ht="30" customHeight="1">
      <x:c r="A39" s="1"/>
      <x:c r="B39" s="1"/>
      <x:c r="C39" s="5" t="str">
        <x:v>Unit Cost shows the mass balance and quantity x rate build. Evidence lists the missing validation work.</x:v>
      </x:c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2"/>
      <x:c r="O39" s="2"/>
      <x:c r="P39" s="2"/>
      <x:c r="Q39" s="2"/>
    </x:row>
    <x:row r="40" ht="22" customHeight="1">
      <x:c r="A40" s="1"/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1"/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1"/>
      <x:c r="B42" s="1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1"/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1"/>
      <x:c r="B44" s="1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1"/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1"/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1"/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1"/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1"/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1"/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1"/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1"/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1"/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1"/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1"/>
      <x:c r="B59" s="1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1"/>
      <x:c r="B60" s="1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1"/>
      <x:c r="B64" s="1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1"/>
      <x:c r="B65" s="1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1"/>
      <x:c r="B66" s="1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1"/>
      <x:c r="B67" s="1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1"/>
      <x:c r="B68" s="1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</x:sheetData>
  <x:mergeCells>
    <x:mergeCell ref="C4:M4"/>
    <x:mergeCell ref="D6:H6"/>
    <x:mergeCell ref="C29:M29"/>
    <x:mergeCell ref="C30:M30"/>
    <x:mergeCell ref="C32:M32"/>
    <x:mergeCell ref="C33:M33"/>
    <x:mergeCell ref="C35:M35"/>
    <x:mergeCell ref="C36:M36"/>
    <x:mergeCell ref="C38:M38"/>
    <x:mergeCell ref="C39:M39"/>
  </x:mergeCells>
  <x:pageMargins left="0.7" right="0.7" top="0.75" bottom="0.75" header="0.3" footer="0.3"/>
  <x:drawing xmlns:r="http://schemas.openxmlformats.org/officeDocument/2006/relationships" r:id="R89628681c4c349d9"/>
</x:worksheet>
</file>

<file path=xl/worksheets/sheet2.xml><?xml version="1.0" encoding="utf-8"?>
<x:worksheet xmlns:x="http://schemas.openxmlformats.org/spreadsheetml/2006/main">
  <x:sheetPr>
    <x:tabColor rgb="FF5074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7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2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1"/>
      <x:c r="B2" s="1"/>
      <x:c r="C2" s="3" t="str">
        <x:v>Liquid detergent line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1"/>
      <x:c r="B3" s="1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</x:row>
    <x:row r="4" ht="30" customHeight="1">
      <x:c r="A4" s="1"/>
      <x:c r="B4" s="1"/>
      <x:c r="C4" s="5" t="str">
        <x:v>Hypothetical UK line. GBP. Blue numbers on amber cells are editable planning assumptions.</x:v>
      </x:c>
      <x:c r="D4" s="5"/>
      <x:c r="E4" s="5"/>
      <x:c r="F4" s="5"/>
      <x:c r="G4" s="5"/>
      <x:c r="H4" s="5"/>
      <x:c r="I4" s="5"/>
      <x:c r="J4" s="5"/>
      <x:c r="K4" s="5"/>
      <x:c r="L4" s="2"/>
      <x:c r="M4" s="2"/>
      <x:c r="N4" s="2"/>
      <x:c r="O4" s="2"/>
      <x:c r="P4" s="2"/>
      <x:c r="Q4" s="2"/>
    </x:row>
    <x:row r="5" ht="22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1"/>
      <x:c r="B6" s="1"/>
      <x:c r="C6" s="7" t="str">
        <x:v>Production and sales</x:v>
      </x:c>
      <x:c r="D6" s="7" t="str">
        <x:v>Input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1"/>
      <x:c r="B7" s="1"/>
      <x:c r="C7" s="2" t="str">
        <x:v>Annual saleable litres</x:v>
      </x:c>
      <x:c r="D7" s="10" t="n">
        <x:v>10000000</x:v>
      </x:c>
      <x:c r="E7" s="2"/>
      <x:c r="F7" s="2" t="str">
        <x:v>Volume is an assumption, not Unilever production data.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1"/>
      <x:c r="B8" s="1"/>
      <x:c r="C8" s="2" t="str">
        <x:v>Litres per bottle</x:v>
      </x:c>
      <x:c r="D8" s="11" t="n">
        <x:v>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1"/>
      <x:c r="B9" s="1"/>
      <x:c r="C9" s="2" t="str">
        <x:v>Finished liquid density (kg/litre)</x:v>
      </x:c>
      <x:c r="D9" s="12" t="n">
        <x:v>1.03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1"/>
      <x:c r="B10" s="1"/>
      <x:c r="C10" s="2" t="str">
        <x:v>Operating days per year</x:v>
      </x:c>
      <x:c r="D10" s="10" t="n">
        <x:v>250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1"/>
      <x:c r="B11" s="1"/>
      <x:c r="C11" s="2" t="str">
        <x:v>Baseline process loss (% of input)</x:v>
      </x:c>
      <x:c r="D11" s="13" t="n">
        <x:v>0.03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1"/>
      <x:c r="B12" s="1"/>
      <x:c r="C12" s="2" t="str">
        <x:v>Net selling price per litre</x:v>
      </x:c>
      <x:c r="D12" s="14" t="n">
        <x:v>1.6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1"/>
      <x:c r="B13" s="1"/>
      <x:c r="C13" s="2" t="str">
        <x:v>Nominal filler speed (bottles/min)</x:v>
      </x:c>
      <x:c r="D13" s="15" t="n">
        <x:v>90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1"/>
      <x:c r="B14" s="1"/>
      <x:c r="C14" s="2" t="str">
        <x:v>Effective running share</x:v>
      </x:c>
      <x:c r="D14" s="13" t="n">
        <x:v>0.65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1"/>
      <x:c r="B15" s="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1"/>
      <x:c r="B16" s="1"/>
      <x:c r="C16" s="2" t="str">
        <x:v>Shifts per day</x:v>
      </x:c>
      <x:c r="D16" s="10" t="n">
        <x:v>2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1"/>
      <x:c r="B17" s="1"/>
      <x:c r="C17" s="2" t="str">
        <x:v>Paid hours per shift</x:v>
      </x:c>
      <x:c r="D17" s="15" t="n">
        <x:v>8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1"/>
      <x:c r="B18" s="1"/>
      <x:c r="C18" s="2" t="str">
        <x:v>Crew per shift</x:v>
      </x:c>
      <x:c r="D18" s="10" t="n">
        <x:v>8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1"/>
      <x:c r="B19" s="1"/>
      <x:c r="C19" s="2" t="str">
        <x:v>Base hourly wage</x:v>
      </x:c>
      <x:c r="D19" s="16" t="n">
        <x:v>15</x:v>
      </x:c>
      <x:c r="E19" s="2"/>
      <x:c r="F19" s="2" t="str">
        <x:v>GBP15/hour assumed; public wage floor is shown in Evidence.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1"/>
      <x:c r="B20" s="1"/>
      <x:c r="C20" s="2" t="str">
        <x:v>Employer on-cost assumption</x:v>
      </x:c>
      <x:c r="D20" s="13" t="n">
        <x:v>0.25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1"/>
      <x:c r="B21" s="1"/>
      <x:c r="C21" s="2" t="str">
        <x:v>Fixed factory overhead per year</x:v>
      </x:c>
      <x:c r="D21" s="16" t="n">
        <x:v>250000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1"/>
      <x:c r="B22" s="1"/>
      <x:c r="C22" s="2" t="str">
        <x:v>Existing depreciation per year</x:v>
      </x:c>
      <x:c r="D22" s="16" t="n">
        <x:v>100000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1"/>
      <x:c r="B24" s="1"/>
      <x:c r="C24" s="2" t="str">
        <x:v>Process electricity (kWh/input kg)</x:v>
      </x:c>
      <x:c r="D24" s="12" t="n">
        <x:v>0.045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1"/>
      <x:c r="B25" s="1"/>
      <x:c r="C25" s="2" t="str">
        <x:v>Filling electricity (kWh/bottle)</x:v>
      </x:c>
      <x:c r="D25" s="12" t="n">
        <x:v>0.006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1"/>
      <x:c r="B26" s="1"/>
      <x:c r="C26" s="2" t="str">
        <x:v>Electricity rate (GBP/kWh)</x:v>
      </x:c>
      <x:c r="D26" s="14" t="n">
        <x:v>0.25</x:v>
      </x:c>
      <x:c r="E26" s="2"/>
      <x:c r="F26" s="2" t="str">
        <x:v>GBP0.25/kWh assumed; not a site tariff quotation.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1"/>
      <x:c r="B27" s="1"/>
      <x:c r="C27" s="2" t="str">
        <x:v>Disposal cost per kg of loss</x:v>
      </x:c>
      <x:c r="D27" s="14" t="n">
        <x:v>0.06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1"/>
      <x:c r="B28" s="1"/>
      <x:c r="C28" s="2" t="str">
        <x:v>Freight per saleable bottle</x:v>
      </x:c>
      <x:c r="D28" s="14" t="n">
        <x:v>0.04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1"/>
      <x:c r="B29" s="1"/>
      <x:c r="C29" s="2" t="str">
        <x:v>Packaging loss rate</x:v>
      </x:c>
      <x:c r="D29" s="13" t="n">
        <x:v>0.005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1"/>
      <x:c r="B30" s="1"/>
      <x:c r="C30" s="2" t="str">
        <x:v>Bottles per shipping case</x:v>
      </x:c>
      <x:c r="D30" s="10" t="n">
        <x:v>6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1"/>
      <x:c r="B32" s="1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1"/>
      <x:c r="B33" s="1"/>
      <x:c r="C33" s="7" t="str">
        <x:v>Material cost group</x:v>
      </x:c>
      <x:c r="D33" s="7" t="str">
        <x:v>Mass fraction</x:v>
      </x:c>
      <x:c r="E33" s="7" t="str">
        <x:v>GBP/kg</x:v>
      </x:c>
      <x:c r="F33" s="7" t="str">
        <x:v>Evidence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1"/>
      <x:c r="B34" s="1"/>
      <x:c r="C34" s="2" t="str">
        <x:v>Water / carrier</x:v>
      </x:c>
      <x:c r="D34" s="13" t="n">
        <x:v>0.7</x:v>
      </x:c>
      <x:c r="E34" s="14" t="n">
        <x:v>0.001</x:v>
      </x:c>
      <x:c r="F34" s="2" t="str">
        <x:v>Assumption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1"/>
      <x:c r="B35" s="1"/>
      <x:c r="C35" s="2" t="str">
        <x:v>Bulk cleaning ingredient group</x:v>
      </x:c>
      <x:c r="D35" s="13" t="n">
        <x:v>0.22</x:v>
      </x:c>
      <x:c r="E35" s="14" t="n">
        <x:v>0.9</x:v>
      </x:c>
      <x:c r="F35" s="2" t="str">
        <x:v>Assumption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1"/>
      <x:c r="B36" s="1"/>
      <x:c r="C36" s="2" t="str">
        <x:v>Premium additive group</x:v>
      </x:c>
      <x:c r="D36" s="13" t="n">
        <x:v>0.06</x:v>
      </x:c>
      <x:c r="E36" s="14" t="n">
        <x:v>2.8</x:v>
      </x:c>
      <x:c r="F36" s="2" t="str">
        <x:v>Assumption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1"/>
      <x:c r="B37" s="1"/>
      <x:c r="C37" s="2" t="str">
        <x:v>Fragrance / other ingredient group</x:v>
      </x:c>
      <x:c r="D37" s="13" t="n">
        <x:v>0.02</x:v>
      </x:c>
      <x:c r="E37" s="14" t="n">
        <x:v>4.5</x:v>
      </x:c>
      <x:c r="F37" s="2" t="str">
        <x:v>Assumption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30" customHeight="1">
      <x:c r="A39" s="1"/>
      <x:c r="B39" s="1"/>
      <x:c r="C39" s="5" t="str">
        <x:v>This mix is a costing abstraction, not a usable formulation or a disclosed Unilever recipe.</x:v>
      </x:c>
      <x:c r="D39" s="5"/>
      <x:c r="E39" s="5"/>
      <x:c r="F39" s="5"/>
      <x:c r="G39" s="5"/>
      <x:c r="H39" s="5"/>
      <x:c r="I39" s="5"/>
      <x:c r="J39" s="5"/>
      <x:c r="K39" s="5"/>
      <x:c r="L39" s="2"/>
      <x:c r="M39" s="2"/>
      <x:c r="N39" s="2"/>
      <x:c r="O39" s="2"/>
      <x:c r="P39" s="2"/>
      <x:c r="Q39" s="2"/>
    </x:row>
    <x:row r="40" ht="22" customHeight="1">
      <x:c r="A40" s="1"/>
      <x:c r="B40" s="1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1"/>
      <x:c r="B41" s="1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1"/>
      <x:c r="B42" s="1"/>
      <x:c r="C42" s="7" t="str">
        <x:v>Packaging component</x:v>
      </x:c>
      <x:c r="D42" s="7" t="str">
        <x:v>Qty/bottle</x:v>
      </x:c>
      <x:c r="E42" s="7" t="str">
        <x:v>GBP/item</x:v>
      </x:c>
      <x:c r="F42" s="7" t="str">
        <x:v>Evidence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1"/>
      <x:c r="B43" s="1"/>
      <x:c r="C43" s="2" t="str">
        <x:v>One-litre bottle</x:v>
      </x:c>
      <x:c r="D43" s="12" t="n">
        <x:v>1</x:v>
      </x:c>
      <x:c r="E43" s="14" t="n">
        <x:v>0.18</x:v>
      </x:c>
      <x:c r="F43" s="2" t="str">
        <x:v>Assumption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1"/>
      <x:c r="B44" s="1"/>
      <x:c r="C44" s="2" t="str">
        <x:v>Cap</x:v>
      </x:c>
      <x:c r="D44" s="12" t="n">
        <x:v>1</x:v>
      </x:c>
      <x:c r="E44" s="14" t="n">
        <x:v>0.035</x:v>
      </x:c>
      <x:c r="F44" s="2" t="str">
        <x:v>Assumption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1"/>
      <x:c r="B45" s="1"/>
      <x:c r="C45" s="2" t="str">
        <x:v>Label</x:v>
      </x:c>
      <x:c r="D45" s="12" t="n">
        <x:v>1</x:v>
      </x:c>
      <x:c r="E45" s="14" t="n">
        <x:v>0.015</x:v>
      </x:c>
      <x:c r="F45" s="2" t="str">
        <x:v>Assumption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1"/>
      <x:c r="B46" s="1"/>
      <x:c r="C46" s="2" t="str">
        <x:v>Shipping case</x:v>
      </x:c>
      <x:c r="D46" s="19" t="n">
        <x:f>1/D30</x:f>
        <x:v>0.16666666666666666</x:v>
      </x:c>
      <x:c r="E46" s="14" t="n">
        <x:v>0.24</x:v>
      </x:c>
      <x:c r="F46" s="2" t="str">
        <x:v>Assumption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1"/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30" customHeight="1">
      <x:c r="A49" s="1"/>
      <x:c r="B49" s="1"/>
      <x:c r="C49" s="5" t="str">
        <x:v>Loss occurs before filling. All ingredient groups have the same loss rate; no rework or salvage credit.</x:v>
      </x:c>
      <x:c r="D49" s="5"/>
      <x:c r="E49" s="5"/>
      <x:c r="F49" s="5"/>
      <x:c r="G49" s="5"/>
      <x:c r="H49" s="5"/>
      <x:c r="I49" s="5"/>
      <x:c r="J49" s="5"/>
      <x:c r="K49" s="5"/>
      <x:c r="L49" s="2"/>
      <x:c r="M49" s="2"/>
      <x:c r="N49" s="2"/>
      <x:c r="O49" s="2"/>
      <x:c r="P49" s="2"/>
      <x:c r="Q49" s="2"/>
    </x:row>
    <x:row r="50" ht="30" customHeight="1">
      <x:c r="A50" s="1"/>
      <x:c r="B50" s="1"/>
      <x:c r="C50" s="5" t="str">
        <x:v>Packaging defects are found before filling. Liquid output is unchanged; no filled-product loss is assumed.</x:v>
      </x:c>
      <x:c r="D50" s="5"/>
      <x:c r="E50" s="5"/>
      <x:c r="F50" s="5"/>
      <x:c r="G50" s="5"/>
      <x:c r="H50" s="5"/>
      <x:c r="I50" s="5"/>
      <x:c r="J50" s="5"/>
      <x:c r="K50" s="5"/>
      <x:c r="L50" s="2"/>
      <x:c r="M50" s="2"/>
      <x:c r="N50" s="2"/>
      <x:c r="O50" s="2"/>
      <x:c r="P50" s="2"/>
      <x:c r="Q50" s="2"/>
    </x:row>
    <x:row r="51" ht="30" customHeight="1">
      <x:c r="A51" s="1"/>
      <x:c r="B51" s="1"/>
      <x:c r="C51" s="5" t="str">
        <x:v>Labour and fixed overhead stay unchanged. No automatic payroll savings are claimed.</x:v>
      </x:c>
      <x:c r="D51" s="5"/>
      <x:c r="E51" s="5"/>
      <x:c r="F51" s="5"/>
      <x:c r="G51" s="5"/>
      <x:c r="H51" s="5"/>
      <x:c r="I51" s="5"/>
      <x:c r="J51" s="5"/>
      <x:c r="K51" s="5"/>
      <x:c r="L51" s="2"/>
      <x:c r="M51" s="2"/>
      <x:c r="N51" s="2"/>
      <x:c r="O51" s="2"/>
      <x:c r="P51" s="2"/>
      <x:c r="Q51" s="2"/>
    </x:row>
    <x:row r="52" ht="30" customHeight="1">
      <x:c r="A52" s="1"/>
      <x:c r="B52" s="1"/>
      <x:c r="C52" s="5" t="str">
        <x:v>Electricity price, consumption, wages, mix and purchase rates require site data or supplier quotations.</x:v>
      </x:c>
      <x:c r="D52" s="5"/>
      <x:c r="E52" s="5"/>
      <x:c r="F52" s="5"/>
      <x:c r="G52" s="5"/>
      <x:c r="H52" s="5"/>
      <x:c r="I52" s="5"/>
      <x:c r="J52" s="5"/>
      <x:c r="K52" s="5"/>
      <x:c r="L52" s="2"/>
      <x:c r="M52" s="2"/>
      <x:c r="N52" s="2"/>
      <x:c r="O52" s="2"/>
      <x:c r="P52" s="2"/>
      <x:c r="Q52" s="2"/>
    </x:row>
    <x:row r="53" ht="22" customHeight="1">
      <x:c r="A53" s="1"/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1"/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1"/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1"/>
      <x:c r="B59" s="1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1"/>
      <x:c r="B60" s="1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1"/>
      <x:c r="B64" s="1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1"/>
      <x:c r="B65" s="1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1"/>
      <x:c r="B66" s="1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1"/>
      <x:c r="B67" s="1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1"/>
      <x:c r="B68" s="1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</x:sheetData>
  <x:mergeCells>
    <x:mergeCell ref="C4:K4"/>
    <x:mergeCell ref="C39:K39"/>
    <x:mergeCell ref="C49:K49"/>
    <x:mergeCell ref="C50:K50"/>
    <x:mergeCell ref="C51:K51"/>
    <x:mergeCell ref="C52:K52"/>
    <x:mergeCell ref="F7:K7"/>
    <x:mergeCell ref="F19:K19"/>
    <x:mergeCell ref="F26:K26"/>
  </x:mergeCells>
  <x:dataValidations count="13">
    <x:dataValidation type="decimal" operator="between" sqref="D11">
      <x:formula1>0</x:formula1>
      <x:formula2>0.99</x:formula2>
    </x:dataValidation>
    <x:dataValidation type="decimal" operator="between" sqref="D29">
      <x:formula1>0</x:formula1>
      <x:formula2>0.99</x:formula2>
    </x:dataValidation>
    <x:dataValidation type="decimal" operator="between" sqref="D14">
      <x:formula1>0</x:formula1>
      <x:formula2>1</x:formula2>
    </x:dataValidation>
    <x:dataValidation type="decimal" operator="greaterThan" sqref="D7">
      <x:formula1>0</x:formula1>
    </x:dataValidation>
    <x:dataValidation type="decimal" operator="greaterThan" sqref="D8">
      <x:formula1>0</x:formula1>
    </x:dataValidation>
    <x:dataValidation type="decimal" operator="greaterThan" sqref="D9">
      <x:formula1>0</x:formula1>
    </x:dataValidation>
    <x:dataValidation type="decimal" operator="greaterThan" sqref="D10">
      <x:formula1>0</x:formula1>
    </x:dataValidation>
    <x:dataValidation type="decimal" operator="greaterThan" sqref="D12">
      <x:formula1>0</x:formula1>
    </x:dataValidation>
    <x:dataValidation type="decimal" operator="greaterThan" sqref="D13">
      <x:formula1>0</x:formula1>
    </x:dataValidation>
    <x:dataValidation type="decimal" operator="greaterThan" sqref="D16">
      <x:formula1>0</x:formula1>
    </x:dataValidation>
    <x:dataValidation type="decimal" operator="greaterThan" sqref="D17">
      <x:formula1>0</x:formula1>
    </x:dataValidation>
    <x:dataValidation type="decimal" operator="greaterThan" sqref="D18">
      <x:formula1>0</x:formula1>
    </x:dataValidation>
    <x:dataValidation type="decimal" operator="greaterThan" sqref="D19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7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2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1"/>
      <x:c r="B2" s="1"/>
      <x:c r="C2" s="3" t="str">
        <x:v>Quantity and rate cost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1"/>
      <x:c r="B3" s="1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</x:row>
    <x:row r="4" ht="30" customHeight="1">
      <x:c r="A4" s="1"/>
      <x:c r="B4" s="1"/>
      <x:c r="C4" s="5" t="str">
        <x:v>GBP. Production costs exclude corporate costs, tax and financing. One-litre packaging is assumed.</x:v>
      </x:c>
      <x:c r="D4" s="5"/>
      <x:c r="E4" s="5"/>
      <x:c r="F4" s="5"/>
      <x:c r="G4" s="5"/>
      <x:c r="H4" s="5"/>
      <x:c r="I4" s="5"/>
      <x:c r="J4" s="5"/>
      <x:c r="K4" s="5"/>
      <x:c r="L4" s="2"/>
      <x:c r="M4" s="2"/>
      <x:c r="N4" s="2"/>
      <x:c r="O4" s="2"/>
      <x:c r="P4" s="2"/>
      <x:c r="Q4" s="2"/>
    </x:row>
    <x:row r="5" ht="22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1"/>
      <x:c r="B6" s="1"/>
      <x:c r="C6" s="7" t="str">
        <x:v>Physical flow</x:v>
      </x:c>
      <x:c r="D6" s="7" t="str">
        <x:v>Baseline</x:v>
      </x:c>
      <x:c r="E6" s="7" t="str">
        <x:v>Proposal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1"/>
      <x:c r="B7" s="1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1"/>
      <x:c r="B8" s="1"/>
      <x:c r="C8" s="2" t="str">
        <x:v>Saleable litres</x:v>
      </x:c>
      <x:c r="D8" s="21" t="n">
        <x:f>IF(ISNUMBER('Inputs'!D7),'Inputs'!D7,NA())</x:f>
        <x:v>10000000</x:v>
      </x:c>
      <x:c r="E8" s="21" t="n">
        <x:f>IF(ISNUMBER('Inputs'!D7),'Inputs'!D7,NA())</x:f>
        <x:v>10000000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1"/>
      <x:c r="B9" s="1"/>
      <x:c r="C9" s="2" t="str">
        <x:v>Saleable bottles</x:v>
      </x:c>
      <x:c r="D9" s="21" t="n">
        <x:f>D8/IF(ISNUMBER('Inputs'!D8),'Inputs'!D8,NA())</x:f>
        <x:v>10000000</x:v>
      </x:c>
      <x:c r="E9" s="21" t="n">
        <x:f>E8/IF(ISNUMBER('Inputs'!D8),'Inputs'!D8,NA())</x:f>
        <x:v>10000000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1"/>
      <x:c r="B10" s="1"/>
      <x:c r="C10" s="2" t="str">
        <x:v>Saleable liquid mass (kg)</x:v>
      </x:c>
      <x:c r="D10" s="21" t="n">
        <x:f>D8*IF(ISNUMBER('Inputs'!D9),'Inputs'!D9,NA())</x:f>
        <x:v>10300000</x:v>
      </x:c>
      <x:c r="E10" s="21" t="n">
        <x:f>E8*IF(ISNUMBER('Inputs'!D9),'Inputs'!D9,NA())</x:f>
        <x:v>10300000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1"/>
      <x:c r="B11" s="1"/>
      <x:c r="C11" s="2" t="str">
        <x:v>Process loss as share of input</x:v>
      </x:c>
      <x:c r="D11" s="23" t="n">
        <x:f>IF(ISNUMBER('Inputs'!D11),'Inputs'!D11,NA())</x:f>
        <x:v>0.03</x:v>
      </x:c>
      <x:c r="E11" s="23" t="n">
        <x:f>'Investment'!D8</x:f>
        <x:v>0.02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1"/>
      <x:c r="B12" s="1"/>
      <x:c r="C12" s="2" t="str">
        <x:v>Process yield</x:v>
      </x:c>
      <x:c r="D12" s="24" t="n">
        <x:f>1-D11</x:f>
        <x:v>0.97</x:v>
      </x:c>
      <x:c r="E12" s="24" t="n">
        <x:f>1-E11</x:f>
        <x:v>0.98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1"/>
      <x:c r="B13" s="1"/>
      <x:c r="C13" s="2" t="str">
        <x:v>Total liquid input (kg)</x:v>
      </x:c>
      <x:c r="D13" s="22" t="n">
        <x:f>D10/D12</x:f>
        <x:v>10618556.701030929</x:v>
      </x:c>
      <x:c r="E13" s="22" t="n">
        <x:f>E10/E12</x:f>
        <x:v>10510204.081632653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1"/>
      <x:c r="B14" s="1"/>
      <x:c r="C14" s="2" t="str">
        <x:v>Process loss (kg)</x:v>
      </x:c>
      <x:c r="D14" s="22" t="n">
        <x:f>D13-D10</x:f>
        <x:v>318556.70103092864</x:v>
      </x:c>
      <x:c r="E14" s="22" t="n">
        <x:f>E13-E10</x:f>
        <x:v>210204.08163265325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1"/>
      <x:c r="B15" s="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1"/>
      <x:c r="B18" s="1"/>
      <x:c r="C18" s="7" t="str">
        <x:v>Ingredient group</x:v>
      </x:c>
      <x:c r="D18" s="7" t="str">
        <x:v>Mass share</x:v>
      </x:c>
      <x:c r="E18" s="7" t="str">
        <x:v>GBP/kg</x:v>
      </x:c>
      <x:c r="F18" s="7" t="str">
        <x:v>Baseline kg</x:v>
      </x:c>
      <x:c r="G18" s="7" t="str">
        <x:v>Baseline cost</x:v>
      </x:c>
      <x:c r="H18" s="7" t="str">
        <x:v>Proposal kg</x:v>
      </x:c>
      <x:c r="I18" s="7" t="str">
        <x:v>Proposal cost</x:v>
      </x:c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1"/>
      <x:c r="B19" s="1"/>
      <x:c r="C19" s="20" t="str">
        <x:f>'Inputs'!C34</x:f>
        <x:v>Water / carrier</x:v>
      </x:c>
      <x:c r="D19" s="23" t="n">
        <x:f>IF(ISNUMBER('Inputs'!D34),'Inputs'!D34,NA())</x:f>
        <x:v>0.7</x:v>
      </x:c>
      <x:c r="E19" s="25" t="n">
        <x:f>IF(ISNUMBER('Inputs'!E34),'Inputs'!E34,NA())</x:f>
        <x:v>0.001</x:v>
      </x:c>
      <x:c r="F19" s="22" t="n">
        <x:f>$D$13*D19</x:f>
        <x:v>7432989.69072165</x:v>
      </x:c>
      <x:c r="G19" s="26" t="n">
        <x:f>F19*E19</x:f>
        <x:v>7432.98969072165</x:v>
      </x:c>
      <x:c r="H19" s="22" t="n">
        <x:f>$E$13*D19</x:f>
        <x:v>7357142.857142856</x:v>
      </x:c>
      <x:c r="I19" s="26" t="n">
        <x:f>H19*E19</x:f>
        <x:v>7357.142857142857</x:v>
      </x:c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1"/>
      <x:c r="B20" s="1"/>
      <x:c r="C20" s="20" t="str">
        <x:f>'Inputs'!C35</x:f>
        <x:v>Bulk cleaning ingredient group</x:v>
      </x:c>
      <x:c r="D20" s="23" t="n">
        <x:f>IF(ISNUMBER('Inputs'!D35),'Inputs'!D35,NA())</x:f>
        <x:v>0.22</x:v>
      </x:c>
      <x:c r="E20" s="25" t="n">
        <x:f>IF(ISNUMBER('Inputs'!E35),'Inputs'!E35,NA())</x:f>
        <x:v>0.9</x:v>
      </x:c>
      <x:c r="F20" s="22" t="n">
        <x:f>$D$13*D20</x:f>
        <x:v>2336082.4742268045</x:v>
      </x:c>
      <x:c r="G20" s="26" t="n">
        <x:f>F20*E20</x:f>
        <x:v>2102474.226804124</x:v>
      </x:c>
      <x:c r="H20" s="22" t="n">
        <x:f>$E$13*D20</x:f>
        <x:v>2312244.897959184</x:v>
      </x:c>
      <x:c r="I20" s="26" t="n">
        <x:f>H20*E20</x:f>
        <x:v>2081020.4081632656</x:v>
      </x:c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1"/>
      <x:c r="B21" s="1"/>
      <x:c r="C21" s="20" t="str">
        <x:f>'Inputs'!C36</x:f>
        <x:v>Premium additive group</x:v>
      </x:c>
      <x:c r="D21" s="23" t="n">
        <x:f>IF(ISNUMBER('Inputs'!D36),'Inputs'!D36,NA())</x:f>
        <x:v>0.06</x:v>
      </x:c>
      <x:c r="E21" s="25" t="n">
        <x:f>IF(ISNUMBER('Inputs'!E36),'Inputs'!E36,NA())</x:f>
        <x:v>2.8</x:v>
      </x:c>
      <x:c r="F21" s="22" t="n">
        <x:f>$D$13*D21</x:f>
        <x:v>637113.4020618557</x:v>
      </x:c>
      <x:c r="G21" s="26" t="n">
        <x:f>F21*E21</x:f>
        <x:v>1783917.5257731958</x:v>
      </x:c>
      <x:c r="H21" s="22" t="n">
        <x:f>$E$13*D21</x:f>
        <x:v>630612.2448979592</x:v>
      </x:c>
      <x:c r="I21" s="26" t="n">
        <x:f>H21*E21</x:f>
        <x:v>1765714.2857142857</x:v>
      </x:c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1"/>
      <x:c r="B22" s="1"/>
      <x:c r="C22" s="20" t="str">
        <x:f>'Inputs'!C37</x:f>
        <x:v>Fragrance / other ingredient group</x:v>
      </x:c>
      <x:c r="D22" s="23" t="n">
        <x:f>IF(ISNUMBER('Inputs'!D37),'Inputs'!D37,NA())</x:f>
        <x:v>0.02</x:v>
      </x:c>
      <x:c r="E22" s="25" t="n">
        <x:f>IF(ISNUMBER('Inputs'!E37),'Inputs'!E37,NA())</x:f>
        <x:v>4.5</x:v>
      </x:c>
      <x:c r="F22" s="22" t="n">
        <x:f>$D$13*D22</x:f>
        <x:v>212371.13402061857</x:v>
      </x:c>
      <x:c r="G22" s="26" t="n">
        <x:f>F22*E22</x:f>
        <x:v>955670.1030927836</x:v>
      </x:c>
      <x:c r="H22" s="22" t="n">
        <x:f>$E$13*D22</x:f>
        <x:v>210204.08163265308</x:v>
      </x:c>
      <x:c r="I22" s="26" t="n">
        <x:f>H22*E22</x:f>
        <x:v>945918.3673469388</x:v>
      </x:c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1"/>
      <x:c r="B25" s="1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1"/>
      <x:c r="B26" s="1"/>
      <x:c r="C26" s="7" t="str">
        <x:v>Packaging</x:v>
      </x:c>
      <x:c r="D26" s="7" t="str">
        <x:v>Qty / bottle</x:v>
      </x:c>
      <x:c r="E26" s="7" t="str">
        <x:v>GBP/item</x:v>
      </x:c>
      <x:c r="F26" s="7" t="str">
        <x:v>Annual quantity</x:v>
      </x:c>
      <x:c r="G26" s="7" t="str">
        <x:v>Annual cost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1"/>
      <x:c r="B27" s="1"/>
      <x:c r="C27" s="20" t="str">
        <x:f>'Inputs'!C43</x:f>
        <x:v>One-litre bottle</x:v>
      </x:c>
      <x:c r="D27" s="27" t="n">
        <x:f>IF(ISNUMBER('Inputs'!D43),'Inputs'!D43,NA())</x:f>
        <x:v>1</x:v>
      </x:c>
      <x:c r="E27" s="25" t="n">
        <x:f>IF(ISNUMBER('Inputs'!E43),'Inputs'!E43,NA())</x:f>
        <x:v>0.18</x:v>
      </x:c>
      <x:c r="F27" s="21" t="n">
        <x:f>$D$9/(1-IF(ISNUMBER('Inputs'!D29),'Inputs'!D29,NA()))*D27</x:f>
        <x:v>10050251.256281408</x:v>
      </x:c>
      <x:c r="G27" s="26" t="n">
        <x:f>F27*E27</x:f>
        <x:v>1809045.2261306534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1"/>
      <x:c r="B28" s="1"/>
      <x:c r="C28" s="20" t="str">
        <x:f>'Inputs'!C44</x:f>
        <x:v>Cap</x:v>
      </x:c>
      <x:c r="D28" s="27" t="n">
        <x:f>IF(ISNUMBER('Inputs'!D44),'Inputs'!D44,NA())</x:f>
        <x:v>1</x:v>
      </x:c>
      <x:c r="E28" s="25" t="n">
        <x:f>IF(ISNUMBER('Inputs'!E44),'Inputs'!E44,NA())</x:f>
        <x:v>0.035</x:v>
      </x:c>
      <x:c r="F28" s="21" t="n">
        <x:f>$D$9/(1-IF(ISNUMBER('Inputs'!D29),'Inputs'!D29,NA()))*D28</x:f>
        <x:v>10050251.256281408</x:v>
      </x:c>
      <x:c r="G28" s="26" t="n">
        <x:f>F28*E28</x:f>
        <x:v>351758.7939698493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1"/>
      <x:c r="B29" s="1"/>
      <x:c r="C29" s="20" t="str">
        <x:f>'Inputs'!C45</x:f>
        <x:v>Label</x:v>
      </x:c>
      <x:c r="D29" s="27" t="n">
        <x:f>IF(ISNUMBER('Inputs'!D45),'Inputs'!D45,NA())</x:f>
        <x:v>1</x:v>
      </x:c>
      <x:c r="E29" s="25" t="n">
        <x:f>IF(ISNUMBER('Inputs'!E45),'Inputs'!E45,NA())</x:f>
        <x:v>0.015</x:v>
      </x:c>
      <x:c r="F29" s="21" t="n">
        <x:f>$D$9/(1-IF(ISNUMBER('Inputs'!D29),'Inputs'!D29,NA()))*D29</x:f>
        <x:v>10050251.256281408</x:v>
      </x:c>
      <x:c r="G29" s="26" t="n">
        <x:f>F29*E29</x:f>
        <x:v>150753.7688442211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1"/>
      <x:c r="B30" s="1"/>
      <x:c r="C30" s="20" t="str">
        <x:f>'Inputs'!C46</x:f>
        <x:v>Shipping case</x:v>
      </x:c>
      <x:c r="D30" s="27" t="n">
        <x:f>'Inputs'!D46</x:f>
        <x:v>0.16666666666666666</x:v>
      </x:c>
      <x:c r="E30" s="25" t="n">
        <x:f>IF(ISNUMBER('Inputs'!E46),'Inputs'!E46,NA())</x:f>
        <x:v>0.24</x:v>
      </x:c>
      <x:c r="F30" s="21" t="n">
        <x:f>$D$9/(1-IF(ISNUMBER('Inputs'!D29),'Inputs'!D29,NA()))*D30</x:f>
        <x:v>1675041.876046901</x:v>
      </x:c>
      <x:c r="G30" s="26" t="n">
        <x:f>F30*E30</x:f>
        <x:v>402010.05025125627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1"/>
      <x:c r="B31" s="1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1"/>
      <x:c r="B32" s="1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1"/>
      <x:c r="B33" s="1"/>
      <x:c r="C33" s="7" t="str">
        <x:v>Annual production cost</x:v>
      </x:c>
      <x:c r="D33" s="7" t="str">
        <x:v>Baseline</x:v>
      </x:c>
      <x:c r="E33" s="7" t="str">
        <x:v>Proposal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1"/>
      <x:c r="B34" s="1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1"/>
      <x:c r="B35" s="1"/>
      <x:c r="C35" s="2" t="str">
        <x:v>Ingredients</x:v>
      </x:c>
      <x:c r="D35" s="26" t="n">
        <x:f>SUM(G19:G22)</x:f>
        <x:v>4849494.845360825</x:v>
      </x:c>
      <x:c r="E35" s="26" t="n">
        <x:f>SUM(I19:I22)</x:f>
        <x:v>4800010.204081633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1"/>
      <x:c r="B36" s="1"/>
      <x:c r="C36" s="2" t="str">
        <x:v>Packaging</x:v>
      </x:c>
      <x:c r="D36" s="26" t="n">
        <x:f>SUM(G27:G30)</x:f>
        <x:v>2713567.83919598</x:v>
      </x:c>
      <x:c r="E36" s="26" t="n">
        <x:f>SUM(G27:G30)</x:f>
        <x:v>2713567.83919598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1"/>
      <x:c r="B37" s="1"/>
      <x:c r="C37" s="2" t="str">
        <x:v>Direct labour (fixed crew)</x:v>
      </x:c>
      <x:c r="D37" s="28" t="n">
        <x:f>IF(ISNUMBER('Inputs'!D16),'Inputs'!D16,NA())*IF(ISNUMBER('Inputs'!D17),'Inputs'!D17,NA())*IF(ISNUMBER('Inputs'!D18),'Inputs'!D18,NA())*IF(ISNUMBER('Inputs'!D10),'Inputs'!D10,NA())*IF(ISNUMBER('Inputs'!D19),'Inputs'!D19,NA())*(1+IF(ISNUMBER('Inputs'!D20),'Inputs'!D20,NA()))</x:f>
        <x:v>600000</x:v>
      </x:c>
      <x:c r="E37" s="28" t="n">
        <x:f>IF(ISNUMBER('Inputs'!D16),'Inputs'!D16,NA())*IF(ISNUMBER('Inputs'!D17),'Inputs'!D17,NA())*IF(ISNUMBER('Inputs'!D18),'Inputs'!D18,NA())*IF(ISNUMBER('Inputs'!D10),'Inputs'!D10,NA())*IF(ISNUMBER('Inputs'!D19),'Inputs'!D19,NA())*(1+IF(ISNUMBER('Inputs'!D20),'Inputs'!D20,NA()))</x:f>
        <x:v>600000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1"/>
      <x:c r="B38" s="1"/>
      <x:c r="C38" s="2" t="str">
        <x:v>Electricity</x:v>
      </x:c>
      <x:c r="D38" s="28" t="n">
        <x:f>(D13*IF(ISNUMBER('Inputs'!D24),'Inputs'!D24,NA())+D9*IF(ISNUMBER('Inputs'!D25),'Inputs'!D25,NA()))*IF(ISNUMBER('Inputs'!D26),'Inputs'!D26,NA())</x:f>
        <x:v>134458.76288659795</x:v>
      </x:c>
      <x:c r="E38" s="28" t="n">
        <x:f>(E13*IF(ISNUMBER('Inputs'!D24),'Inputs'!D24,NA())+E9*IF(ISNUMBER('Inputs'!D25),'Inputs'!D25,NA()))*IF(ISNUMBER('Inputs'!D26),'Inputs'!D26,NA())</x:f>
        <x:v>133239.79591836734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1"/>
      <x:c r="B39" s="1"/>
      <x:c r="C39" s="2" t="str">
        <x:v>Process loss disposal</x:v>
      </x:c>
      <x:c r="D39" s="28" t="n">
        <x:f>D14*IF(ISNUMBER('Inputs'!D27),'Inputs'!D27,NA())</x:f>
        <x:v>19113.40206185572</x:v>
      </x:c>
      <x:c r="E39" s="28" t="n">
        <x:f>E14*IF(ISNUMBER('Inputs'!D27),'Inputs'!D27,NA())</x:f>
        <x:v>12612.244897959195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1"/>
      <x:c r="B40" s="1"/>
      <x:c r="C40" s="2" t="str">
        <x:v>Freight</x:v>
      </x:c>
      <x:c r="D40" s="28" t="n">
        <x:f>D9*IF(ISNUMBER('Inputs'!D28),'Inputs'!D28,NA())</x:f>
        <x:v>400000</x:v>
      </x:c>
      <x:c r="E40" s="28" t="n">
        <x:f>E9*IF(ISNUMBER('Inputs'!D28),'Inputs'!D28,NA())</x:f>
        <x:v>400000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1"/>
      <x:c r="B41" s="1"/>
      <x:c r="C41" s="2" t="str">
        <x:v>Fixed factory overhead</x:v>
      </x:c>
      <x:c r="D41" s="28" t="n">
        <x:f>IF(ISNUMBER('Inputs'!D21),'Inputs'!D21,NA())</x:f>
        <x:v>250000</x:v>
      </x:c>
      <x:c r="E41" s="28" t="n">
        <x:f>IF(ISNUMBER('Inputs'!D21),'Inputs'!D21,NA())</x:f>
        <x:v>250000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1"/>
      <x:c r="B42" s="1"/>
      <x:c r="C42" s="2" t="str">
        <x:v>Existing depreciation</x:v>
      </x:c>
      <x:c r="D42" s="28" t="n">
        <x:f>IF(ISNUMBER('Inputs'!D22),'Inputs'!D22,NA())</x:f>
        <x:v>100000</x:v>
      </x:c>
      <x:c r="E42" s="28" t="n">
        <x:f>IF(ISNUMBER('Inputs'!D22),'Inputs'!D22,NA())</x:f>
        <x:v>100000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1"/>
      <x:c r="B43" s="1"/>
      <x:c r="C43" s="34" t="str">
        <x:v>Total production cost</x:v>
      </x:c>
      <x:c r="D43" s="35" t="n">
        <x:f>SUM(D35:D42)</x:f>
        <x:v>9066634.849505257</x:v>
      </x:c>
      <x:c r="E43" s="35" t="n">
        <x:f>SUM(E35:E42)</x:f>
        <x:v>9009430.08409394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1"/>
      <x:c r="B44" s="1"/>
      <x:c r="C44" s="2" t="str">
        <x:v>Cost per saleable litre</x:v>
      </x:c>
      <x:c r="D44" s="29" t="n">
        <x:f>D43/D8</x:f>
        <x:v>0.9066634849505257</x:v>
      </x:c>
      <x:c r="E44" s="29" t="n">
        <x:f>E43/E8</x:f>
        <x:v>0.9009430084093939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1"/>
      <x:c r="B45" s="1"/>
      <x:c r="C45" s="2" t="str">
        <x:v>Cost per saleable bottle</x:v>
      </x:c>
      <x:c r="D45" s="29" t="n">
        <x:f>D43/D9</x:f>
        <x:v>0.9066634849505257</x:v>
      </x:c>
      <x:c r="E45" s="29" t="n">
        <x:f>E43/E9</x:f>
        <x:v>0.9009430084093939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1"/>
      <x:c r="B46" s="1"/>
      <x:c r="C46" s="2" t="str">
        <x:v>Cost per saleable tonne</x:v>
      </x:c>
      <x:c r="D46" s="26" t="n">
        <x:f>D43/D10*1000</x:f>
        <x:v>880.2558106315784</x:v>
      </x:c>
      <x:c r="E46" s="26" t="n">
        <x:f>E43/E10*1000</x:f>
        <x:v>874.701949912033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1"/>
      <x:c r="B47" s="1"/>
      <x:c r="C47" s="2" t="str">
        <x:v>Variable cost per litre</x:v>
      </x:c>
      <x:c r="D47" s="29" t="n">
        <x:f>SUM(D35:D36,D38:D40)/D8</x:f>
        <x:v>0.8116634849505259</x:v>
      </x:c>
      <x:c r="E47" s="29" t="n">
        <x:f>SUM(E35:E36,E38:E40)/E8</x:f>
        <x:v>0.805943008409394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1"/>
      <x:c r="B48" s="1"/>
      <x:c r="C48" s="2" t="str">
        <x:v>Contribution per litre before fixed costs</x:v>
      </x:c>
      <x:c r="D48" s="25" t="n">
        <x:f>IF(ISNUMBER('Inputs'!D12),'Inputs'!D12,NA())-D47</x:f>
        <x:v>0.7883365150494742</x:v>
      </x:c>
      <x:c r="E48" s="25" t="n">
        <x:f>IF(ISNUMBER('Inputs'!D12),'Inputs'!D12,NA())-E47</x:f>
        <x:v>0.794056991590606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1"/>
      <x:c r="B49" s="1"/>
      <x:c r="C49" s="2" t="str">
        <x:v>Revenue</x:v>
      </x:c>
      <x:c r="D49" s="28" t="n">
        <x:f>D8*IF(ISNUMBER('Inputs'!D12),'Inputs'!D12,NA())</x:f>
        <x:v>16000000</x:v>
      </x:c>
      <x:c r="E49" s="28" t="n">
        <x:f>E8*IF(ISNUMBER('Inputs'!D12),'Inputs'!D12,NA())</x:f>
        <x:v>16000000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1"/>
      <x:c r="B50" s="1"/>
      <x:c r="C50" s="2" t="str">
        <x:v>Line profit before new project costs</x:v>
      </x:c>
      <x:c r="D50" s="26" t="n">
        <x:f>D49-D43</x:f>
        <x:v>6933365.150494743</x:v>
      </x:c>
      <x:c r="E50" s="26" t="n">
        <x:f>E49-E43</x:f>
        <x:v>6990569.9159060605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1"/>
      <x:c r="B51" s="1"/>
      <x:c r="C51" s="2" t="str">
        <x:v>Line margin before new project costs</x:v>
      </x:c>
      <x:c r="D51" s="24" t="n">
        <x:f>D50/D49</x:f>
        <x:v>0.43333532190592144</x:v>
      </x:c>
      <x:c r="E51" s="24" t="n">
        <x:f>E50/E49</x:f>
        <x:v>0.43691061974412876</x:v>
      </x:c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1"/>
      <x:c r="B52" s="1"/>
      <x:c r="C52" s="2"/>
      <x:c r="D52" s="26"/>
      <x:c r="E52" s="26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1"/>
      <x:c r="B53" s="1"/>
      <x:c r="C53" s="34" t="str">
        <x:v>Annual gross cash saving</x:v>
      </x:c>
      <x:c r="D53" s="35"/>
      <x:c r="E53" s="35" t="n">
        <x:f>D43-E43</x:f>
        <x:v>57204.76541131735</x:v>
      </x:c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1"/>
      <x:c r="B54" s="1"/>
      <x:c r="C54" s="2" t="str">
        <x:v>Liquid input avoided (kg/year)</x:v>
      </x:c>
      <x:c r="D54" s="26"/>
      <x:c r="E54" s="22" t="n">
        <x:f>D13-E13</x:f>
        <x:v>108352.61939827539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1"/>
      <x:c r="B55" s="1"/>
      <x:c r="C55" s="2" t="str">
        <x:v>Avoidable cost per input kg</x:v>
      </x:c>
      <x:c r="D55" s="26"/>
      <x:c r="E55" s="25" t="n">
        <x:f>SUMPRODUCT(D19:D22,E19:E22)+IF(ISNUMBER('Inputs'!D24),'Inputs'!D24,NA())*IF(ISNUMBER('Inputs'!D26),'Inputs'!D26,NA())+IF(ISNUMBER('Inputs'!D27),'Inputs'!D27,NA())</x:f>
        <x:v>0.5279499999999999</x:v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1"/>
      <x:c r="B58" s="1"/>
      <x:c r="C58" s="2" t="str">
        <x:v>Mass balance difference (kg)</x:v>
      </x:c>
      <x:c r="D58" s="30" t="n">
        <x:f>D13-D10-D14</x:f>
        <x:v>0</x:v>
      </x:c>
      <x:c r="E58" s="30" t="n">
        <x:f>E13-E10-E14</x:f>
        <x:v>0</x:v>
      </x:c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1"/>
      <x:c r="B59" s="1"/>
      <x:c r="C59" s="2" t="str">
        <x:v>Mix fraction less 100%</x:v>
      </x:c>
      <x:c r="D59" s="31" t="n">
        <x:f>SUM('Inputs'!D34:D37)-1</x:f>
        <x:v>0</x:v>
      </x:c>
      <x:c r="E59" s="30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1"/>
      <x:c r="B60" s="1"/>
      <x:c r="C60" s="2" t="str">
        <x:v>Annual filler capacity (bottles)</x:v>
      </x:c>
      <x:c r="D60" s="21" t="n">
        <x:f>IF(ISNUMBER('Inputs'!D13),'Inputs'!D13,NA())*60*IF(ISNUMBER('Inputs'!D17),'Inputs'!D17,NA())*IF(ISNUMBER('Inputs'!D16),'Inputs'!D16,NA())*IF(ISNUMBER('Inputs'!D10),'Inputs'!D10,NA())*IF(ISNUMBER('Inputs'!D14),'Inputs'!D14,NA())</x:f>
        <x:v>14040000</x:v>
      </x:c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1"/>
      <x:c r="B61" s="1"/>
      <x:c r="C61" s="2" t="str">
        <x:v>Planned filler capacity utilisation</x:v>
      </x:c>
      <x:c r="D61" s="24" t="n">
        <x:f>D9/D60</x:f>
        <x:v>0.7122507122507122</x:v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1"/>
      <x:c r="B64" s="1"/>
      <x:c r="C64" s="2" t="str">
        <x:v>New maintenance and extra energy</x:v>
      </x:c>
      <x:c r="D64" s="26"/>
      <x:c r="E64" s="28" t="n">
        <x:f>'Investment'!D34</x:f>
        <x:v>8000</x:v>
      </x:c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1"/>
      <x:c r="B65" s="1"/>
      <x:c r="C65" s="2" t="str">
        <x:v>New project depreciation</x:v>
      </x:c>
      <x:c r="D65" s="26"/>
      <x:c r="E65" s="28" t="n">
        <x:f>'Investment'!D40</x:f>
        <x:v>18400</x:v>
      </x:c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1"/>
      <x:c r="B66" s="1"/>
      <x:c r="C66" s="34" t="str">
        <x:v>Total cost including new project</x:v>
      </x:c>
      <x:c r="D66" s="35" t="n">
        <x:f>D43</x:f>
        <x:v>9066634.849505257</x:v>
      </x:c>
      <x:c r="E66" s="35" t="n">
        <x:f>SUM(E43,E64:E65)</x:f>
        <x:v>9035830.08409394</x:v>
      </x:c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1"/>
      <x:c r="B67" s="1"/>
      <x:c r="C67" s="2" t="str">
        <x:v>Full production cost per bottle</x:v>
      </x:c>
      <x:c r="D67" s="29" t="n">
        <x:f>D45</x:f>
        <x:v>0.9066634849505257</x:v>
      </x:c>
      <x:c r="E67" s="29" t="n">
        <x:f>E66/E9</x:f>
        <x:v>0.903583008409394</x:v>
      </x:c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1"/>
      <x:c r="B68" s="1"/>
      <x:c r="C68" s="2" t="str">
        <x:v>Full production cost per tonne</x:v>
      </x:c>
      <x:c r="D68" s="26" t="n">
        <x:f>D46</x:f>
        <x:v>880.2558106315784</x:v>
      </x:c>
      <x:c r="E68" s="26" t="n">
        <x:f>E66/E10*1000</x:f>
        <x:v>877.2650567081495</x:v>
      </x:c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</x:sheetData>
  <x:mergeCells>
    <x:mergeCell ref="C4:K4"/>
  </x:mergeCells>
  <x:conditionalFormatting sqref="D58:E58">
    <x:cfRule type="expression" dxfId="0" priority="1">
      <x:formula>ABS(D58)&gt;0.000001</x:formula>
    </x:cfRule>
  </x:conditionalFormatting>
  <x:conditionalFormatting sqref="D59:D59">
    <x:cfRule type="expression" dxfId="1" priority="2">
      <x:formula>ABS(D59)&gt;0.000001</x:formula>
    </x:cfRule>
  </x:conditionalFormatting>
  <x:conditionalFormatting sqref="D61:D61">
    <x:cfRule type="expression" dxfId="2" priority="3">
      <x:formula>D61&gt;1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7" hidden="0" customWidth="1"/>
    <x:col min="4" max="4" width="18" hidden="0" customWidth="1"/>
    <x:col min="5" max="5" width="16" hidden="0" customWidth="1"/>
    <x:col min="6" max="6" width="3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2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1"/>
      <x:c r="B2" s="1"/>
      <x:c r="C2" s="3" t="str">
        <x:v>Loss-control investment appraisal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1"/>
      <x:c r="B3" s="1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  <x:c r="Q3" s="2"/>
    </x:row>
    <x:row r="4" ht="30" customHeight="1">
      <x:c r="A4" s="1"/>
      <x:c r="B4" s="1"/>
      <x:c r="C4" s="5" t="str">
        <x:v>Pilot proposal: dosing controls and process-loss monitoring. All capital costs are budget placeholders.</x:v>
      </x:c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2"/>
      <x:c r="O4" s="2"/>
      <x:c r="P4" s="2"/>
      <x:c r="Q4" s="2"/>
    </x:row>
    <x:row r="5" ht="22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1"/>
      <x:c r="B6" s="1"/>
      <x:c r="C6" s="7" t="str">
        <x:v>Editable investment drivers</x:v>
      </x:c>
      <x:c r="D6" s="7" t="str">
        <x:v>Input</x:v>
      </x:c>
      <x:c r="E6" s="2"/>
      <x:c r="F6" s="7" t="str">
        <x:v>Incremental cash flow</x:v>
      </x:c>
      <x:c r="G6" s="7" t="str">
        <x:v>Year 0</x:v>
      </x:c>
      <x:c r="H6" s="7" t="str">
        <x:v>Year 1</x:v>
      </x:c>
      <x:c r="I6" s="7" t="str">
        <x:v>Year 2</x:v>
      </x:c>
      <x:c r="J6" s="7" t="str">
        <x:v>Year 3</x:v>
      </x:c>
      <x:c r="K6" s="7" t="str">
        <x:v>Year 4</x:v>
      </x:c>
      <x:c r="L6" s="7" t="str">
        <x:v>Year 5</x:v>
      </x:c>
      <x:c r="M6" s="2"/>
      <x:c r="N6" s="2"/>
      <x:c r="O6" s="2"/>
      <x:c r="P6" s="2"/>
      <x:c r="Q6" s="2"/>
    </x:row>
    <x:row r="7" ht="22" customHeight="1">
      <x:c r="A7" s="1"/>
      <x:c r="B7" s="1"/>
      <x:c r="C7" s="2"/>
      <x:c r="D7" s="2"/>
      <x:c r="E7" s="2"/>
      <x:c r="F7" s="2"/>
      <x:c r="G7" s="2" t="n">
        <x:v>0</x:v>
      </x:c>
      <x:c r="H7" s="2" t="n">
        <x:v>1</x:v>
      </x:c>
      <x:c r="I7" s="2" t="n">
        <x:v>2</x:v>
      </x:c>
      <x:c r="J7" s="2" t="n">
        <x:v>3</x:v>
      </x:c>
      <x:c r="K7" s="2" t="n">
        <x:v>4</x:v>
      </x:c>
      <x:c r="L7" s="2" t="n">
        <x:v>5</x:v>
      </x:c>
      <x:c r="M7" s="2"/>
      <x:c r="N7" s="2"/>
      <x:c r="O7" s="2"/>
      <x:c r="P7" s="2"/>
      <x:c r="Q7" s="2"/>
    </x:row>
    <x:row r="8" ht="22" customHeight="1">
      <x:c r="A8" s="1"/>
      <x:c r="B8" s="1"/>
      <x:c r="C8" s="2" t="str">
        <x:v>Target process loss (% of input)</x:v>
      </x:c>
      <x:c r="D8" s="13" t="n">
        <x:v>0.02</x:v>
      </x:c>
      <x:c r="E8" s="2"/>
      <x:c r="F8" s="2" t="str">
        <x:v>Operating fraction</x:v>
      </x:c>
      <x:c r="G8" s="24" t="n">
        <x:f>0</x:f>
        <x:v>0</x:v>
      </x:c>
      <x:c r="H8" s="24" t="n">
        <x:f>$D$36</x:f>
        <x:v>0.5</x:v>
      </x:c>
      <x:c r="I8" s="24" t="n">
        <x:f>1</x:f>
        <x:v>1</x:v>
      </x:c>
      <x:c r="J8" s="24" t="n">
        <x:f>1</x:f>
        <x:v>1</x:v>
      </x:c>
      <x:c r="K8" s="24" t="n">
        <x:f>1</x:f>
        <x:v>1</x:v>
      </x:c>
      <x:c r="L8" s="24" t="n">
        <x:f>1</x:f>
        <x:v>1</x:v>
      </x:c>
      <x:c r="M8" s="2"/>
      <x:c r="N8" s="2"/>
      <x:c r="O8" s="2"/>
      <x:c r="P8" s="2"/>
      <x:c r="Q8" s="2"/>
    </x:row>
    <x:row r="9" ht="22" customHeight="1">
      <x:c r="A9" s="1"/>
      <x:c r="B9" s="1"/>
      <x:c r="C9" s="2" t="str">
        <x:v>Equipment budget</x:v>
      </x:c>
      <x:c r="D9" s="16" t="n">
        <x:v>60000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1"/>
      <x:c r="B10" s="1"/>
      <x:c r="C10" s="2" t="str">
        <x:v>Installation budget</x:v>
      </x:c>
      <x:c r="D10" s="16" t="n">
        <x:v>15000</x:v>
      </x:c>
      <x:c r="E10" s="2"/>
      <x:c r="F10" s="2" t="str">
        <x:v>Capital spending</x:v>
      </x:c>
      <x:c r="G10" s="26" t="n">
        <x:f>-$D$26</x:f>
        <x:v>-92000</x:v>
      </x:c>
      <x:c r="H10" s="26" t="n">
        <x:f>0</x:f>
        <x:v>0</x:v>
      </x:c>
      <x:c r="I10" s="26" t="n">
        <x:f>0</x:f>
        <x:v>0</x:v>
      </x:c>
      <x:c r="J10" s="26" t="n">
        <x:f>0</x:f>
        <x:v>0</x:v>
      </x:c>
      <x:c r="K10" s="26" t="n">
        <x:f>0</x:f>
        <x:v>0</x:v>
      </x:c>
      <x:c r="L10" s="26" t="n">
        <x:f>0</x:f>
        <x:v>0</x:v>
      </x:c>
      <x:c r="M10" s="2"/>
      <x:c r="N10" s="2"/>
      <x:c r="O10" s="2"/>
      <x:c r="P10" s="2"/>
      <x:c r="Q10" s="2"/>
    </x:row>
    <x:row r="11" ht="22" customHeight="1">
      <x:c r="A11" s="1"/>
      <x:c r="B11" s="1"/>
      <x:c r="C11" s="2" t="str">
        <x:v>Validation / commissioning budget</x:v>
      </x:c>
      <x:c r="D11" s="16" t="n">
        <x:v>5000</x:v>
      </x:c>
      <x:c r="E11" s="2"/>
      <x:c r="F11" s="2" t="str">
        <x:v>One-off expenses / lost contribution</x:v>
      </x:c>
      <x:c r="G11" s="26" t="n">
        <x:f>-$D$31</x:f>
        <x:v>-25766.730300989482</x:v>
      </x:c>
      <x:c r="H11" s="26" t="n">
        <x:f>0</x:f>
        <x:v>0</x:v>
      </x:c>
      <x:c r="I11" s="26" t="n">
        <x:f>0</x:f>
        <x:v>0</x:v>
      </x:c>
      <x:c r="J11" s="26" t="n">
        <x:f>0</x:f>
        <x:v>0</x:v>
      </x:c>
      <x:c r="K11" s="26" t="n">
        <x:f>0</x:f>
        <x:v>0</x:v>
      </x:c>
      <x:c r="L11" s="26" t="n">
        <x:f>0</x:f>
        <x:v>0</x:v>
      </x:c>
      <x:c r="M11" s="2"/>
      <x:c r="N11" s="2"/>
      <x:c r="O11" s="2"/>
      <x:c r="P11" s="2"/>
      <x:c r="Q11" s="2"/>
    </x:row>
    <x:row r="12" ht="22" customHeight="1">
      <x:c r="A12" s="1"/>
      <x:c r="B12" s="1"/>
      <x:c r="C12" s="2" t="str">
        <x:v>Capital contingency</x:v>
      </x:c>
      <x:c r="D12" s="13" t="n">
        <x:v>0.15</x:v>
      </x:c>
      <x:c r="E12" s="2"/>
      <x:c r="F12" s="2" t="str">
        <x:v>Gross operating savings</x:v>
      </x:c>
      <x:c r="G12" s="26" t="n">
        <x:f>$D$33*G8</x:f>
        <x:v>0</x:v>
      </x:c>
      <x:c r="H12" s="26" t="n">
        <x:f>$D$33*H8</x:f>
        <x:v>28602.382705658674</x:v>
      </x:c>
      <x:c r="I12" s="26" t="n">
        <x:f>$D$33*I8</x:f>
        <x:v>57204.76541131735</x:v>
      </x:c>
      <x:c r="J12" s="26" t="n">
        <x:f>$D$33*J8</x:f>
        <x:v>57204.76541131735</x:v>
      </x:c>
      <x:c r="K12" s="26" t="n">
        <x:f>$D$33*K8</x:f>
        <x:v>57204.76541131735</x:v>
      </x:c>
      <x:c r="L12" s="26" t="n">
        <x:f>$D$33*L8</x:f>
        <x:v>57204.76541131735</x:v>
      </x:c>
      <x:c r="M12" s="2"/>
      <x:c r="N12" s="2"/>
      <x:c r="O12" s="2"/>
      <x:c r="P12" s="2"/>
      <x:c r="Q12" s="2"/>
    </x:row>
    <x:row r="13" ht="22" customHeight="1">
      <x:c r="A13" s="1"/>
      <x:c r="B13" s="1"/>
      <x:c r="C13" s="2" t="str">
        <x:v>One-off training expense</x:v>
      </x:c>
      <x:c r="D13" s="16" t="n">
        <x:v>5000</x:v>
      </x:c>
      <x:c r="E13" s="2"/>
      <x:c r="F13" s="2" t="str">
        <x:v>Maintenance / extra energy</x:v>
      </x:c>
      <x:c r="G13" s="26" t="n">
        <x:f>-$D$34*G8</x:f>
        <x:v>0</x:v>
      </x:c>
      <x:c r="H13" s="26" t="n">
        <x:f>-$D$34*H8</x:f>
        <x:v>-4000</x:v>
      </x:c>
      <x:c r="I13" s="26" t="n">
        <x:f>-$D$34*I8</x:f>
        <x:v>-8000</x:v>
      </x:c>
      <x:c r="J13" s="26" t="n">
        <x:f>-$D$34*J8</x:f>
        <x:v>-8000</x:v>
      </x:c>
      <x:c r="K13" s="26" t="n">
        <x:f>-$D$34*K8</x:f>
        <x:v>-8000</x:v>
      </x:c>
      <x:c r="L13" s="26" t="n">
        <x:f>-$D$34*L8</x:f>
        <x:v>-8000</x:v>
      </x:c>
      <x:c r="M13" s="2"/>
      <x:c r="N13" s="2"/>
      <x:c r="O13" s="2"/>
      <x:c r="P13" s="2"/>
      <x:c r="Q13" s="2"/>
    </x:row>
    <x:row r="14" ht="22" customHeight="1">
      <x:c r="A14" s="1"/>
      <x:c r="B14" s="1"/>
      <x:c r="C14" s="2" t="str">
        <x:v>Annual maintenance / software</x:v>
      </x:c>
      <x:c r="D14" s="16" t="n">
        <x:v>8000</x:v>
      </x:c>
      <x:c r="E14" s="2"/>
      <x:c r="F14" s="2" t="str">
        <x:v>Asset sale proceeds</x:v>
      </x:c>
      <x:c r="G14" s="26" t="n">
        <x:f>0</x:f>
        <x:v>0</x:v>
      </x:c>
      <x:c r="H14" s="26" t="n">
        <x:f>0</x:f>
        <x:v>0</x:v>
      </x:c>
      <x:c r="I14" s="26" t="n">
        <x:f>0</x:f>
        <x:v>0</x:v>
      </x:c>
      <x:c r="J14" s="26" t="n">
        <x:f>0</x:f>
        <x:v>0</x:v>
      </x:c>
      <x:c r="K14" s="26" t="n">
        <x:f>0</x:f>
        <x:v>0</x:v>
      </x:c>
      <x:c r="L14" s="26" t="n">
        <x:f>$D$21</x:f>
        <x:v>0</x:v>
      </x:c>
      <x:c r="M14" s="2"/>
      <x:c r="N14" s="2"/>
      <x:c r="O14" s="2"/>
      <x:c r="P14" s="2"/>
      <x:c r="Q14" s="2"/>
    </x:row>
    <x:row r="15" ht="22" customHeight="1">
      <x:c r="A15" s="1"/>
      <x:c r="B15" s="1"/>
      <x:c r="C15" s="2" t="str">
        <x:v>Commissioning month (1-13)</x:v>
      </x:c>
      <x:c r="D15" s="10" t="n">
        <x:v>7</x:v>
      </x:c>
      <x:c r="E15" s="2"/>
      <x:c r="F15" s="2" t="str">
        <x:v>Net economic cash flow</x:v>
      </x:c>
      <x:c r="G15" s="26" t="n">
        <x:f>SUM(G10:G14)</x:f>
        <x:v>-117766.73030098948</x:v>
      </x:c>
      <x:c r="H15" s="26" t="n">
        <x:f>SUM(H10:H14)</x:f>
        <x:v>24602.382705658674</x:v>
      </x:c>
      <x:c r="I15" s="26" t="n">
        <x:f>SUM(I10:I14)</x:f>
        <x:v>49204.76541131735</x:v>
      </x:c>
      <x:c r="J15" s="26" t="n">
        <x:f>SUM(J10:J14)</x:f>
        <x:v>49204.76541131735</x:v>
      </x:c>
      <x:c r="K15" s="26" t="n">
        <x:f>SUM(K10:K14)</x:f>
        <x:v>49204.76541131735</x:v>
      </x:c>
      <x:c r="L15" s="26" t="n">
        <x:f>SUM(L10:L14)</x:f>
        <x:v>49204.76541131735</x:v>
      </x:c>
      <x:c r="M15" s="2"/>
      <x:c r="N15" s="2"/>
      <x:c r="O15" s="2"/>
      <x:c r="P15" s="2"/>
      <x:c r="Q15" s="2"/>
    </x:row>
    <x:row r="16" ht="22" customHeight="1">
      <x:c r="A16" s="1"/>
      <x:c r="B16" s="1"/>
      <x:c r="C16" s="2" t="str">
        <x:v>Installation downtime (days)</x:v>
      </x:c>
      <x:c r="D16" s="15" t="n">
        <x:v>2</x:v>
      </x:c>
      <x:c r="E16" s="2"/>
      <x:c r="F16" s="2" t="str">
        <x:v>Discount factor</x:v>
      </x:c>
      <x:c r="G16" s="39" t="n">
        <x:f>(1+$D$19)^G$7</x:f>
        <x:v>1</x:v>
      </x:c>
      <x:c r="H16" s="39" t="n">
        <x:f>(1+$D$19)^H$7</x:f>
        <x:v>1.1</x:v>
      </x:c>
      <x:c r="I16" s="39" t="n">
        <x:f>(1+$D$19)^I$7</x:f>
        <x:v>1.2100000000000002</x:v>
      </x:c>
      <x:c r="J16" s="39" t="n">
        <x:f>(1+$D$19)^J$7</x:f>
        <x:v>1.3310000000000004</x:v>
      </x:c>
      <x:c r="K16" s="39" t="n">
        <x:f>(1+$D$19)^K$7</x:f>
        <x:v>1.4641000000000004</x:v>
      </x:c>
      <x:c r="L16" s="39" t="n">
        <x:f>(1+$D$19)^L$7</x:f>
        <x:v>1.6105100000000006</x:v>
      </x:c>
      <x:c r="M16" s="2"/>
      <x:c r="N16" s="2"/>
      <x:c r="O16" s="2"/>
      <x:c r="P16" s="2"/>
      <x:c r="Q16" s="2"/>
    </x:row>
    <x:row r="17" ht="22" customHeight="1">
      <x:c r="A17" s="1"/>
      <x:c r="B17" s="1"/>
      <x:c r="C17" s="2" t="str">
        <x:v>Unrecoverable share of lost output</x:v>
      </x:c>
      <x:c r="D17" s="13" t="n">
        <x:v>0.25</x:v>
      </x:c>
      <x:c r="E17" s="2"/>
      <x:c r="F17" s="2" t="str">
        <x:v>Present value</x:v>
      </x:c>
      <x:c r="G17" s="26" t="n">
        <x:f>G15/G16</x:f>
        <x:v>-117766.73030098948</x:v>
      </x:c>
      <x:c r="H17" s="26" t="n">
        <x:f>H15/H16</x:f>
        <x:v>22365.8024596897</x:v>
      </x:c>
      <x:c r="I17" s="26" t="n">
        <x:f>I15/I16</x:f>
        <x:v>40665.095381254</x:v>
      </x:c>
      <x:c r="J17" s="26" t="n">
        <x:f>J15/J16</x:f>
        <x:v>36968.26852841272</x:v>
      </x:c>
      <x:c r="K17" s="26" t="n">
        <x:f>K15/K16</x:f>
        <x:v>33607.51684401157</x:v>
      </x:c>
      <x:c r="L17" s="26" t="n">
        <x:f>L15/L16</x:f>
        <x:v>30552.288040010513</x:v>
      </x:c>
      <x:c r="M17" s="2"/>
      <x:c r="N17" s="2"/>
      <x:c r="O17" s="2"/>
      <x:c r="P17" s="2"/>
      <x:c r="Q17" s="2"/>
    </x:row>
    <x:row r="18" ht="22" customHeight="1">
      <x:c r="A18" s="1"/>
      <x:c r="B18" s="1"/>
      <x:c r="C18" s="2" t="str">
        <x:v>One-off pilot expense</x:v>
      </x:c>
      <x:c r="D18" s="16" t="n">
        <x:v>5000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1"/>
      <x:c r="B19" s="1"/>
      <x:c r="C19" s="2" t="str">
        <x:v>Annual discount rate</x:v>
      </x:c>
      <x:c r="D19" s="13" t="n">
        <x:v>0.1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1"/>
      <x:c r="B20" s="1"/>
      <x:c r="C20" s="2" t="str">
        <x:v>Asset life (years)</x:v>
      </x:c>
      <x:c r="D20" s="10" t="n">
        <x:v>5</x:v>
      </x:c>
      <x:c r="E20" s="2"/>
      <x:c r="F20" s="2" t="str">
        <x:v>Five-year discounted operating fractions</x:v>
      </x:c>
      <x:c r="G20" s="39" t="n">
        <x:f>H8/H16+I8/I16+J8/J16+K8/K16+L8/L16</x:f>
        <x:v>3.336241314862993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1"/>
      <x:c r="B21" s="1"/>
      <x:c r="C21" s="2" t="str">
        <x:v>Year 5 residual sale proceeds</x:v>
      </x:c>
      <x:c r="D21" s="16" t="n">
        <x:v>0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1"/>
      <x:c r="B22" s="1"/>
      <x:c r="C22" s="2" t="str">
        <x:v>Extra operating electricity (kWh/year)</x:v>
      </x:c>
      <x:c r="D22" s="10" t="n">
        <x:v>0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1"/>
      <x:c r="B24" s="1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1"/>
      <x:c r="B25" s="1"/>
      <x:c r="C25" s="7" t="str">
        <x:v>Investment and returns</x:v>
      </x:c>
      <x:c r="D25" s="7" t="str">
        <x:v>GBP unless stated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1"/>
      <x:c r="B26" s="1"/>
      <x:c r="C26" s="2" t="str">
        <x:v>Capitalised project cost</x:v>
      </x:c>
      <x:c r="D26" s="26" t="n">
        <x:f>SUM(D9:D11)*(1+D12)</x:f>
        <x:v>92000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1"/>
      <x:c r="B27" s="1"/>
      <x:c r="C27" s="2" t="str">
        <x:v>Planned saleable litres per day</x:v>
      </x:c>
      <x:c r="D27" s="21" t="n">
        <x:f>IF(ISNUMBER('Inputs'!D7),'Inputs'!D7,NA())/IF(ISNUMBER('Inputs'!D10),'Inputs'!D10,NA())</x:f>
        <x:v>40000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1"/>
      <x:c r="B28" s="1"/>
      <x:c r="C28" s="2" t="str">
        <x:v>Unrecoverable lost litres at installation</x:v>
      </x:c>
      <x:c r="D28" s="22" t="n">
        <x:f>D27*D16*D17</x:f>
        <x:v>20000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1"/>
      <x:c r="B29" s="1"/>
      <x:c r="C29" s="2" t="str">
        <x:v>Lost contribution per litre</x:v>
      </x:c>
      <x:c r="D29" s="25" t="n">
        <x:f>'Unit Cost'!D48</x:f>
        <x:v>0.7883365150494742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1"/>
      <x:c r="B30" s="1"/>
      <x:c r="C30" s="2" t="str">
        <x:v>One-off lost contribution</x:v>
      </x:c>
      <x:c r="D30" s="26" t="n">
        <x:f>D28*D29</x:f>
        <x:v>15766.730300989484</x:v>
      </x:c>
      <x:c r="E30" s="2"/>
      <x:c r="F30" s="2"/>
      <x:c r="G30" s="2" t="str">
        <x:v>Five-year NPV sensitivity (GBP)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1"/>
      <x:c r="B31" s="1"/>
      <x:c r="C31" s="2" t="str">
        <x:v>Total one-off economic expense</x:v>
      </x:c>
      <x:c r="D31" s="26" t="n">
        <x:f>SUM(D13,D18,D30)</x:f>
        <x:v>25766.730300989482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1"/>
      <x:c r="B32" s="1"/>
      <x:c r="C32" s="34" t="str">
        <x:v>Total initial economic outflow</x:v>
      </x:c>
      <x:c r="D32" s="35" t="n">
        <x:f>SUM(D26,D31)</x:f>
        <x:v>117766.73030098948</x:v>
      </x:c>
      <x:c r="E32" s="2"/>
      <x:c r="F32" s="2"/>
      <x:c r="G32" s="2"/>
      <x:c r="H32" s="2" t="str">
        <x:v>Target process loss</x:v>
      </x:c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1"/>
      <x:c r="B33" s="1"/>
      <x:c r="C33" s="2" t="str">
        <x:v>Annual gross avoided operating cost</x:v>
      </x:c>
      <x:c r="D33" s="28" t="n">
        <x:f>'Unit Cost'!E53</x:f>
        <x:v>57204.76541131735</x:v>
      </x:c>
      <x:c r="E33" s="2"/>
      <x:c r="F33" s="2"/>
      <x:c r="G33" s="42" t="n">
        <x:f>D44</x:f>
        <x:v>46392.240952389024</x:v>
      </x:c>
      <x:c r="H33" s="41" t="n">
        <x:v>0.01</x:v>
      </x:c>
      <x:c r="I33" s="41" t="n">
        <x:v>0.02</x:v>
      </x:c>
      <x:c r="J33" s="41" t="n">
        <x:v>0.025</x:v>
      </x:c>
      <x:c r="K33" s="2"/>
      <x:c r="L33" s="2"/>
      <x:c r="M33" s="2"/>
      <x:c r="N33" s="2"/>
      <x:c r="O33" s="2"/>
      <x:c r="P33" s="2"/>
      <x:c r="Q33" s="2"/>
    </x:row>
    <x:row r="34" ht="22" customHeight="1">
      <x:c r="A34" s="1"/>
      <x:c r="B34" s="1"/>
      <x:c r="C34" s="2" t="str">
        <x:v>Annual extra operating cost</x:v>
      </x:c>
      <x:c r="D34" s="28" t="n">
        <x:f>D14+D22*IF(ISNUMBER('Inputs'!D26),'Inputs'!D26,NA())</x:f>
        <x:v>8000</x:v>
      </x:c>
      <x:c r="E34" s="2"/>
      <x:c r="F34" s="2"/>
      <x:c r="G34" s="33" t="n">
        <x:v>40000</x:v>
      </x:c>
      <x:c r="H34" s="26" t="n">
        <x:f t="dataTable" ref="H34:J36" dt2D="1" r1="D8" r2="D9"/>
        <x:v>256385.6093555396</x:v>
      </x:c>
      <x:c r="I34" s="26" t="n">
        <x:v>69392.24095238902</x:v>
      </x:c>
      <x:c r="J34" s="26" t="n">
        <x:v>-25542.85377536683</x:v>
      </x:c>
      <x:c r="K34" s="2"/>
      <x:c r="L34" s="2"/>
      <x:c r="M34" s="2"/>
      <x:c r="N34" s="2"/>
      <x:c r="O34" s="2"/>
      <x:c r="P34" s="2"/>
      <x:c r="Q34" s="2"/>
    </x:row>
    <x:row r="35" ht="22" customHeight="1">
      <x:c r="A35" s="1"/>
      <x:c r="B35" s="1"/>
      <x:c r="C35" s="34" t="str">
        <x:v>Annual net recurring cash saving</x:v>
      </x:c>
      <x:c r="D35" s="35" t="n">
        <x:f>D33-D34</x:f>
        <x:v>49204.76541131735</x:v>
      </x:c>
      <x:c r="E35" s="2"/>
      <x:c r="F35" s="2" t="str">
        <x:v>Equipment budget</x:v>
      </x:c>
      <x:c r="G35" s="33" t="n">
        <x:v>60000</x:v>
      </x:c>
      <x:c r="H35" s="26" t="n">
        <x:v>233385.6093555396</x:v>
      </x:c>
      <x:c r="I35" s="26" t="n">
        <x:v>46392.240952389024</x:v>
      </x:c>
      <x:c r="J35" s="26" t="n">
        <x:v>-48542.853775366835</x:v>
      </x:c>
      <x:c r="K35" s="2"/>
      <x:c r="L35" s="2"/>
      <x:c r="M35" s="2"/>
      <x:c r="N35" s="2"/>
      <x:c r="O35" s="2"/>
      <x:c r="P35" s="2"/>
      <x:c r="Q35" s="2"/>
    </x:row>
    <x:row r="36" ht="22" customHeight="1">
      <x:c r="A36" s="1"/>
      <x:c r="B36" s="1"/>
      <x:c r="C36" s="2" t="str">
        <x:v>Year 1 operating fraction</x:v>
      </x:c>
      <x:c r="D36" s="24" t="n">
        <x:f>(13-D15)/12</x:f>
        <x:v>0.5</x:v>
      </x:c>
      <x:c r="E36" s="2"/>
      <x:c r="F36" s="2"/>
      <x:c r="G36" s="33" t="n">
        <x:v>90000</x:v>
      </x:c>
      <x:c r="H36" s="26" t="n">
        <x:v>198885.60935553964</x:v>
      </x:c>
      <x:c r="I36" s="26" t="n">
        <x:v>11892.240952389046</x:v>
      </x:c>
      <x:c r="J36" s="26" t="n">
        <x:v>-83042.85377536684</x:v>
      </x:c>
      <x:c r="K36" s="2"/>
      <x:c r="L36" s="2"/>
      <x:c r="M36" s="2"/>
      <x:c r="N36" s="2"/>
      <x:c r="O36" s="2"/>
      <x:c r="P36" s="2"/>
      <x:c r="Q36" s="2"/>
    </x:row>
    <x:row r="37" ht="22" customHeight="1">
      <x:c r="A37" s="1"/>
      <x:c r="B37" s="1"/>
      <x:c r="C37" s="2" t="str">
        <x:v>Year 1 recurring cash saving</x:v>
      </x:c>
      <x:c r="D37" s="26" t="n">
        <x:f>D35*D36</x:f>
        <x:v>24602.382705658674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1"/>
      <x:c r="B38" s="1"/>
      <x:c r="C38" s="2" t="str">
        <x:v>Simple payback after start (months)</x:v>
      </x:c>
      <x:c r="D38" s="36" t="n">
        <x:f>IF(D35&gt;0,D32/D35*12,"n.a.")</x:f>
        <x:v>28.72081091736758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1"/>
      <x:c r="B39" s="1"/>
      <x:c r="C39" s="2" t="str">
        <x:v>Payback incl. preparation (months)</x:v>
      </x:c>
      <x:c r="D39" s="36" t="n">
        <x:f>IF(ISNUMBER(D38),D38+D15-1,"n.a.")</x:f>
        <x:v>34.72081091736758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1"/>
      <x:c r="B40" s="1"/>
      <x:c r="C40" s="2" t="str">
        <x:v>Annual project depreciation</x:v>
      </x:c>
      <x:c r="D40" s="26" t="n">
        <x:f>D26/D20</x:f>
        <x:v>18400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1"/>
      <x:c r="B41" s="1"/>
      <x:c r="C41" s="2" t="str">
        <x:v>Annual operating profit benefit</x:v>
      </x:c>
      <x:c r="D41" s="26" t="n">
        <x:f>D35-D40</x:f>
        <x:v>30804.76541131735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1"/>
      <x:c r="B42" s="1"/>
      <x:c r="C42" s="2" t="str">
        <x:v>Year 1 operating profit benefit</x:v>
      </x:c>
      <x:c r="D42" s="26" t="n">
        <x:f>(D35-D40)*D36-D31</x:f>
        <x:v>-10364.347595330808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1"/>
      <x:c r="B43" s="1"/>
      <x:c r="C43" s="2"/>
      <x:c r="D43" s="26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1"/>
      <x:c r="B44" s="1"/>
      <x:c r="C44" s="34" t="str">
        <x:v>Five-year project NPV</x:v>
      </x:c>
      <x:c r="D44" s="35" t="n">
        <x:f>SUM(G17:L17)</x:f>
        <x:v>46392.240952389024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1"/>
      <x:c r="B45" s="1"/>
      <x:c r="C45" s="2" t="str">
        <x:v>PV of future operating cash flows</x:v>
      </x:c>
      <x:c r="D45" s="26" t="n">
        <x:f>NPV(D19,H15:L15)</x:f>
        <x:v>164158.97125337852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1"/>
      <x:c r="B46" s="1"/>
      <x:c r="C46" s="2" t="str">
        <x:v>Maximum equipment budget at NPV zero</x:v>
      </x:c>
      <x:c r="D46" s="26" t="n">
        <x:f>(D45-D31)/(1+D12)-SUM(D10:D11)</x:f>
        <x:v>100341.07908903394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1"/>
      <x:c r="B47" s="1"/>
      <x:c r="C47" s="2" t="str">
        <x:v>Annual gross saving required at NPV zero</x:v>
      </x:c>
      <x:c r="D47" s="26" t="n">
        <x:f>(D32-NPV(D19,H14:L14))/G20+D34</x:f>
        <x:v>43299.22424266415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1"/>
      <x:c r="B48" s="1"/>
      <x:c r="C48" s="2" t="str">
        <x:v>Input reduction required (kg/year)</x:v>
      </x:c>
      <x:c r="D48" s="21" t="n">
        <x:f>D47/'Unit Cost'!E55</x:f>
        <x:v>82013.87298544211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1"/>
      <x:c r="B49" s="1"/>
      <x:c r="C49" s="2" t="str">
        <x:v>Highest target loss rate at NPV zero</x:v>
      </x:c>
      <x:c r="D49" s="37" t="n">
        <x:f>IF('Unit Cost'!D13-D48&gt;0,1-'Unit Cost'!D10/('Unit Cost'!D13-D48),"n.a.")</x:f>
        <x:v>0.02244975718372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1"/>
      <x:c r="B50" s="1"/>
      <x:c r="C50" s="2" t="str">
        <x:v>Required loss reduction (percentage pts)</x:v>
      </x:c>
      <x:c r="D50" s="38" t="n">
        <x:f>IF(ISNUMBER(D49),(IF(ISNUMBER('Inputs'!D11),'Inputs'!D11,NA())-D49)*100,"n.a.")</x:f>
        <x:v>0.7550242816280001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1"/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1"/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1"/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30" customHeight="1">
      <x:c r="A54" s="1"/>
      <x:c r="B54" s="1"/>
      <x:c r="C54" s="5" t="str">
        <x:v>Five-year pre-tax economic appraisal. No inflation, tax relief, financing or working capital changes.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2"/>
      <x:c r="O54" s="2"/>
      <x:c r="P54" s="2"/>
      <x:c r="Q54" s="2"/>
    </x:row>
    <x:row r="55" ht="30" customHeight="1">
      <x:c r="A55" s="1"/>
      <x:c r="B55" s="1"/>
      <x:c r="C55" s="5" t="str">
        <x:v>All capital, training, pilot and lost contribution are charged at Year 0 for a conservative timing convention.</x:v>
      </x:c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2"/>
      <x:c r="O55" s="2"/>
      <x:c r="P55" s="2"/>
      <x:c r="Q55" s="2"/>
    </x:row>
    <x:row r="56" ht="30" customHeight="1">
      <x:c r="A56" s="1"/>
      <x:c r="B56" s="1"/>
      <x:c r="C56" s="5" t="str">
        <x:v>Years 1-5 operating savings are discounted at year end. Year 1 savings start in the commissioning month.</x:v>
      </x:c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2"/>
      <x:c r="O56" s="2"/>
      <x:c r="P56" s="2"/>
      <x:c r="Q56" s="2"/>
    </x:row>
    <x:row r="57" ht="30" customHeight="1">
      <x:c r="A57" s="1"/>
      <x:c r="B57" s="1"/>
      <x:c r="C57" s="5" t="str">
        <x:v>Recurring maintenance and added electricity start at commissioning. Lost output is net of rescheduling.</x:v>
      </x:c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2"/>
      <x:c r="O57" s="2"/>
      <x:c r="P57" s="2"/>
      <x:c r="Q57" s="2"/>
    </x:row>
    <x:row r="58" ht="30" customHeight="1">
      <x:c r="A58" s="1"/>
      <x:c r="B58" s="1"/>
      <x:c r="C58" s="5" t="str">
        <x:v>Only avoidable variable costs are saved on lost sales. Fixed payroll and overhead do not disappear.</x:v>
      </x:c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2"/>
      <x:c r="O58" s="2"/>
      <x:c r="P58" s="2"/>
      <x:c r="Q58" s="2"/>
    </x:row>
    <x:row r="59" ht="30" customHeight="1">
      <x:c r="A59" s="1"/>
      <x:c r="B59" s="1"/>
      <x:c r="C59" s="5" t="str">
        <x:v>Project depreciation is a profit expense, not a cash outflow. Existing line depreciation is unchanged.</x:v>
      </x:c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2"/>
      <x:c r="O59" s="2"/>
      <x:c r="P59" s="2"/>
      <x:c r="Q59" s="2"/>
    </x:row>
    <x:row r="60" ht="30" customHeight="1">
      <x:c r="A60" s="1"/>
      <x:c r="B60" s="1"/>
      <x:c r="C60" s="5" t="str">
        <x:v>Sensitivity table varies target loss and equipment cost; the same cost and cash-flow model is recalculated.</x:v>
      </x:c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2"/>
      <x:c r="O60" s="2"/>
      <x:c r="P60" s="2"/>
      <x:c r="Q60" s="2"/>
    </x:row>
    <x:row r="61" ht="22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1"/>
      <x:c r="B64" s="1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1"/>
      <x:c r="B65" s="1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1"/>
      <x:c r="B66" s="1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1"/>
      <x:c r="B67" s="1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1"/>
      <x:c r="B68" s="1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</x:sheetData>
  <x:mergeCells>
    <x:mergeCell ref="C4:M4"/>
    <x:mergeCell ref="C54:M54"/>
    <x:mergeCell ref="C55:M55"/>
    <x:mergeCell ref="C56:M56"/>
    <x:mergeCell ref="C57:M57"/>
    <x:mergeCell ref="C58:M58"/>
    <x:mergeCell ref="C59:M59"/>
    <x:mergeCell ref="C60:M60"/>
  </x:mergeCells>
  <x:conditionalFormatting sqref="H34:J36">
    <x:cfRule type="expression" dxfId="3" priority="1">
      <x:formula>H34&lt;0</x:formula>
    </x:cfRule>
  </x:conditionalFormatting>
  <x:dataValidations count="9">
    <x:dataValidation type="decimal" operator="between" sqref="D8">
      <x:formula1>0</x:formula1>
      <x:formula2>0.99</x:formula2>
    </x:dataValidation>
    <x:dataValidation type="whole" operator="between" sqref="D15">
      <x:formula1>1</x:formula1>
      <x:formula2>13</x:formula2>
    </x:dataValidation>
    <x:dataValidation type="decimal" operator="greaterThan" sqref="D9">
      <x:formula1>0</x:formula1>
    </x:dataValidation>
    <x:dataValidation type="decimal" operator="greaterThan" sqref="D10">
      <x:formula1>0</x:formula1>
    </x:dataValidation>
    <x:dataValidation type="decimal" operator="greaterThan" sqref="D11">
      <x:formula1>0</x:formula1>
    </x:dataValidation>
    <x:dataValidation type="decimal" operator="greaterThan" sqref="D13">
      <x:formula1>0</x:formula1>
    </x:dataValidation>
    <x:dataValidation type="decimal" operator="greaterThan" sqref="D14">
      <x:formula1>0</x:formula1>
    </x:dataValidation>
    <x:dataValidation type="decimal" operator="greaterThan" sqref="D18">
      <x:formula1>0</x:formula1>
    </x:dataValidation>
    <x:dataValidation type="decimal" operator="greaterThan" sqref="D20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7" hidden="0" customWidth="1"/>
    <x:col min="4" max="4" width="18" hidden="0" customWidth="1"/>
    <x:col min="5" max="5" width="19" hidden="0" customWidth="1"/>
    <x:col min="6" max="6" width="6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2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1"/>
      <x:c r="B2" s="1"/>
      <x:c r="C2" s="3" t="str">
        <x:v>Evidence and validation plan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1"/>
      <x:c r="B3" s="1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</x:row>
    <x:row r="4" ht="30" customHeight="1">
      <x:c r="A4" s="1"/>
      <x:c r="B4" s="1"/>
      <x:c r="C4" s="5" t="str">
        <x:v>Public sources provide context. They do not validate this line's purchase prices, loss rates or equipment budget.</x:v>
      </x:c>
      <x:c r="D4" s="5"/>
      <x:c r="E4" s="5"/>
      <x:c r="F4" s="5"/>
      <x:c r="G4" s="5"/>
      <x:c r="H4" s="5"/>
      <x:c r="I4" s="5"/>
      <x:c r="J4" s="5"/>
      <x:c r="K4" s="5"/>
      <x:c r="L4" s="2"/>
      <x:c r="M4" s="2"/>
      <x:c r="N4" s="2"/>
      <x:c r="O4" s="2"/>
      <x:c r="P4" s="2"/>
      <x:c r="Q4" s="2"/>
    </x:row>
    <x:row r="5" ht="22" customHeight="1">
      <x:c r="A5" s="1"/>
      <x:c r="B5" s="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1"/>
      <x:c r="B6" s="1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1"/>
      <x:c r="B7" s="1"/>
      <x:c r="C7" s="43" t="str">
        <x:v>R1  Unilever Q3 2026 trading statement</x:v>
      </x:c>
      <x:c r="D7" s="43"/>
      <x:c r="E7" s="43"/>
      <x:c r="F7" s="43"/>
      <x:c r="G7" s="43"/>
      <x:c r="H7" s="43"/>
      <x:c r="I7" s="43"/>
      <x:c r="J7" s="43"/>
      <x:c r="K7" s="43"/>
      <x:c r="L7" s="2"/>
      <x:c r="M7" s="2"/>
      <x:c r="N7" s="2"/>
      <x:c r="O7" s="2"/>
      <x:c r="P7" s="2"/>
      <x:c r="Q7" s="2"/>
    </x:row>
    <x:row r="8" ht="30" customHeight="1">
      <x:c r="A8" s="1"/>
      <x:c r="B8" s="1"/>
      <x:c r="C8" s="44" t="str">
        <x:v>User-supplied PDF, pp. 5, 8 and 10.</x:v>
      </x:c>
      <x:c r="D8" s="44"/>
      <x:c r="E8" s="44"/>
      <x:c r="F8" s="44"/>
      <x:c r="G8" s="44"/>
      <x:c r="H8" s="44"/>
      <x:c r="I8" s="44"/>
      <x:c r="J8" s="44"/>
      <x:c r="K8" s="44"/>
      <x:c r="L8" s="2"/>
      <x:c r="M8" s="2"/>
      <x:c r="N8" s="2"/>
      <x:c r="O8" s="2"/>
      <x:c r="P8" s="2"/>
      <x:c r="Q8" s="2"/>
    </x:row>
    <x:row r="9" ht="30" customHeight="1">
      <x:c r="A9" s="1"/>
      <x:c r="B9" s="1"/>
      <x:c r="C9" s="5" t="str">
        <x:v>Home Care USG 9.1%, price growth 3.6%. Reported volume includes mix. Not used to set physical output.</x:v>
      </x:c>
      <x:c r="D9" s="5"/>
      <x:c r="E9" s="5"/>
      <x:c r="F9" s="5"/>
      <x:c r="G9" s="5"/>
      <x:c r="H9" s="5"/>
      <x:c r="I9" s="5"/>
      <x:c r="J9" s="5"/>
      <x:c r="K9" s="5"/>
      <x:c r="L9" s="2"/>
      <x:c r="M9" s="2"/>
      <x:c r="N9" s="2"/>
      <x:c r="O9" s="2"/>
      <x:c r="P9" s="2"/>
      <x:c r="Q9" s="2"/>
    </x:row>
    <x:row r="10" ht="22" customHeight="1">
      <x:c r="A10" s="1"/>
      <x:c r="B10" s="1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1"/>
      <x:c r="B11" s="1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1"/>
      <x:c r="B12" s="1"/>
      <x:c r="C12" s="43" t="str">
        <x:v>R2  Unilever digital twins press release</x:v>
      </x:c>
      <x:c r="D12" s="43"/>
      <x:c r="E12" s="43"/>
      <x:c r="F12" s="43"/>
      <x:c r="G12" s="43"/>
      <x:c r="H12" s="43"/>
      <x:c r="I12" s="43"/>
      <x:c r="J12" s="43"/>
      <x:c r="K12" s="43"/>
      <x:c r="L12" s="2"/>
      <x:c r="M12" s="2"/>
      <x:c r="N12" s="2"/>
      <x:c r="O12" s="2"/>
      <x:c r="P12" s="2"/>
      <x:c r="Q12" s="2"/>
    </x:row>
    <x:row r="13" ht="30" customHeight="1">
      <x:c r="A13" s="1"/>
      <x:c r="B13" s="1"/>
      <x:c r="C13" s="44" t="str">
        <x:v>https://www.unilever.com/news/press-and-media/press-releases/2026/unilever-scales-digital-twins-across-global-manufacturing-network-with-accenture/</x:v>
      </x:c>
      <x:c r="D13" s="44"/>
      <x:c r="E13" s="44"/>
      <x:c r="F13" s="44"/>
      <x:c r="G13" s="44"/>
      <x:c r="H13" s="44"/>
      <x:c r="I13" s="44"/>
      <x:c r="J13" s="44"/>
      <x:c r="K13" s="44"/>
      <x:c r="L13" s="2"/>
      <x:c r="M13" s="2"/>
      <x:c r="N13" s="2"/>
      <x:c r="O13" s="2"/>
      <x:c r="P13" s="2"/>
      <x:c r="Q13" s="2"/>
    </x:row>
    <x:row r="14" ht="30" customHeight="1">
      <x:c r="A14" s="1"/>
      <x:c r="B14" s="1"/>
      <x:c r="C14" s="5" t="str">
        <x:v>Cu Chi liquid Home Care: 1-2% premium-ingredient savings from dosing controls. This is not a total-waste reduction benchmark.</x:v>
      </x:c>
      <x:c r="D14" s="5"/>
      <x:c r="E14" s="5"/>
      <x:c r="F14" s="5"/>
      <x:c r="G14" s="5"/>
      <x:c r="H14" s="5"/>
      <x:c r="I14" s="5"/>
      <x:c r="J14" s="5"/>
      <x:c r="K14" s="5"/>
      <x:c r="L14" s="2"/>
      <x:c r="M14" s="2"/>
      <x:c r="N14" s="2"/>
      <x:c r="O14" s="2"/>
      <x:c r="P14" s="2"/>
      <x:c r="Q14" s="2"/>
    </x:row>
    <x:row r="15" ht="22" customHeight="1">
      <x:c r="A15" s="1"/>
      <x:c r="B15" s="1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1"/>
      <x:c r="B16" s="1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1"/>
      <x:c r="B17" s="1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1"/>
      <x:c r="B18" s="1"/>
      <x:c r="C18" s="43" t="str">
        <x:v>R3  UK National Living Wage, April 2026</x:v>
      </x:c>
      <x:c r="D18" s="43"/>
      <x:c r="E18" s="43"/>
      <x:c r="F18" s="43"/>
      <x:c r="G18" s="43"/>
      <x:c r="H18" s="43"/>
      <x:c r="I18" s="43"/>
      <x:c r="J18" s="43"/>
      <x:c r="K18" s="43"/>
      <x:c r="L18" s="2"/>
      <x:c r="M18" s="2"/>
      <x:c r="N18" s="2"/>
      <x:c r="O18" s="2"/>
      <x:c r="P18" s="2"/>
      <x:c r="Q18" s="2"/>
    </x:row>
    <x:row r="19" ht="30" customHeight="1">
      <x:c r="A19" s="1"/>
      <x:c r="B19" s="1"/>
      <x:c r="C19" s="44" t="str">
        <x:v>https://www.gov.uk/national-minimum-wage-rates</x:v>
      </x:c>
      <x:c r="D19" s="44"/>
      <x:c r="E19" s="44"/>
      <x:c r="F19" s="44"/>
      <x:c r="G19" s="44"/>
      <x:c r="H19" s="44"/>
      <x:c r="I19" s="44"/>
      <x:c r="J19" s="44"/>
      <x:c r="K19" s="44"/>
      <x:c r="L19" s="2"/>
      <x:c r="M19" s="2"/>
      <x:c r="N19" s="2"/>
      <x:c r="O19" s="2"/>
      <x:c r="P19" s="2"/>
      <x:c r="Q19" s="2"/>
    </x:row>
    <x:row r="20" ht="30" customHeight="1">
      <x:c r="A20" s="1"/>
      <x:c r="B20" s="1"/>
      <x:c r="C20" s="5" t="str">
        <x:v>GBP12.71/hour for age 21+. A statutory floor, not a skilled factory wage. Model wage is assumed GBP15/hour.</x:v>
      </x:c>
      <x:c r="D20" s="5"/>
      <x:c r="E20" s="5"/>
      <x:c r="F20" s="5"/>
      <x:c r="G20" s="5"/>
      <x:c r="H20" s="5"/>
      <x:c r="I20" s="5"/>
      <x:c r="J20" s="5"/>
      <x:c r="K20" s="5"/>
      <x:c r="L20" s="2"/>
      <x:c r="M20" s="2"/>
      <x:c r="N20" s="2"/>
      <x:c r="O20" s="2"/>
      <x:c r="P20" s="2"/>
      <x:c r="Q20" s="2"/>
    </x:row>
    <x:row r="21" ht="22" customHeight="1">
      <x:c r="A21" s="1"/>
      <x:c r="B21" s="1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1"/>
      <x:c r="B22" s="1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1"/>
      <x:c r="B23" s="1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1"/>
      <x:c r="B24" s="1"/>
      <x:c r="C24" s="43" t="str">
        <x:v>A1  Engineering and commercial assumptions</x:v>
      </x:c>
      <x:c r="D24" s="43"/>
      <x:c r="E24" s="43"/>
      <x:c r="F24" s="43"/>
      <x:c r="G24" s="43"/>
      <x:c r="H24" s="43"/>
      <x:c r="I24" s="43"/>
      <x:c r="J24" s="43"/>
      <x:c r="K24" s="43"/>
      <x:c r="L24" s="2"/>
      <x:c r="M24" s="2"/>
      <x:c r="N24" s="2"/>
      <x:c r="O24" s="2"/>
      <x:c r="P24" s="2"/>
      <x:c r="Q24" s="2"/>
    </x:row>
    <x:row r="25" ht="30" customHeight="1">
      <x:c r="A25" s="1"/>
      <x:c r="B25" s="1"/>
      <x:c r="C25" s="44" t="str">
        <x:v>Inputs and Investment amber cells.</x:v>
      </x:c>
      <x:c r="D25" s="44"/>
      <x:c r="E25" s="44"/>
      <x:c r="F25" s="44"/>
      <x:c r="G25" s="44"/>
      <x:c r="H25" s="44"/>
      <x:c r="I25" s="44"/>
      <x:c r="J25" s="44"/>
      <x:c r="K25" s="44"/>
      <x:c r="L25" s="2"/>
      <x:c r="M25" s="2"/>
      <x:c r="N25" s="2"/>
      <x:c r="O25" s="2"/>
      <x:c r="P25" s="2"/>
      <x:c r="Q25" s="2"/>
    </x:row>
    <x:row r="26" ht="30" customHeight="1">
      <x:c r="A26" s="1"/>
      <x:c r="B26" s="1"/>
      <x:c r="C26" s="5" t="str">
        <x:v>No factory records, recipe, contract prices, site energy bill or supplier quotation have been supplied. All must be validated.</x:v>
      </x:c>
      <x:c r="D26" s="5"/>
      <x:c r="E26" s="5"/>
      <x:c r="F26" s="5"/>
      <x:c r="G26" s="5"/>
      <x:c r="H26" s="5"/>
      <x:c r="I26" s="5"/>
      <x:c r="J26" s="5"/>
      <x:c r="K26" s="5"/>
      <x:c r="L26" s="2"/>
      <x:c r="M26" s="2"/>
      <x:c r="N26" s="2"/>
      <x:c r="O26" s="2"/>
      <x:c r="P26" s="2"/>
      <x:c r="Q26" s="2"/>
    </x:row>
    <x:row r="27" ht="22" customHeight="1">
      <x:c r="A27" s="1"/>
      <x:c r="B27" s="1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1"/>
      <x:c r="B28" s="1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1"/>
      <x:c r="B29" s="1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1"/>
      <x:c r="B30" s="1"/>
      <x:c r="C30" s="7" t="str">
        <x:v>Capital review prerequisite</x:v>
      </x:c>
      <x:c r="D30" s="7" t="str">
        <x:v>Evidence status</x:v>
      </x:c>
      <x:c r="E30" s="7" t="str">
        <x:v>Owner</x:v>
      </x:c>
      <x:c r="F30" s="7" t="str">
        <x:v>Required evidence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34" customHeight="1">
      <x:c r="A31" s="1"/>
      <x:c r="B31" s="1"/>
      <x:c r="C31" s="2" t="str">
        <x:v>Measured baseline input / output</x:v>
      </x:c>
      <x:c r="D31" s="9" t="str">
        <x:v>Not supplied</x:v>
      </x:c>
      <x:c r="E31" s="2" t="str">
        <x:v>Operations</x:v>
      </x:c>
      <x:c r="F31" s="5" t="str">
        <x:v>Calibrated input mass, saleable output and waste by batch.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34" customHeight="1">
      <x:c r="A32" s="1"/>
      <x:c r="B32" s="1"/>
      <x:c r="C32" s="2" t="str">
        <x:v>Quality and stability trial</x:v>
      </x:c>
      <x:c r="D32" s="9" t="str">
        <x:v>Not supplied</x:v>
      </x:c>
      <x:c r="E32" s="2" t="str">
        <x:v>Quality</x:v>
      </x:c>
      <x:c r="F32" s="5" t="str">
        <x:v>Same specifications; reject and customer-quality results.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34" customHeight="1">
      <x:c r="A33" s="1"/>
      <x:c r="B33" s="1"/>
      <x:c r="C33" s="2" t="str">
        <x:v>Material and packaging prices</x:v>
      </x:c>
      <x:c r="D33" s="9" t="str">
        <x:v>Not supplied</x:v>
      </x:c>
      <x:c r="E33" s="2" t="str">
        <x:v>Procurement</x:v>
      </x:c>
      <x:c r="F33" s="5" t="str">
        <x:v>Current delivered quotes and purchase terms.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34" customHeight="1">
      <x:c r="A34" s="1"/>
      <x:c r="B34" s="1"/>
      <x:c r="C34" s="2" t="str">
        <x:v>Equipment and installation quotes</x:v>
      </x:c>
      <x:c r="D34" s="9" t="str">
        <x:v>Not supplied</x:v>
      </x:c>
      <x:c r="E34" s="2" t="str">
        <x:v>Engineering</x:v>
      </x:c>
      <x:c r="F34" s="5" t="str">
        <x:v>Comparable quotes, scope, commissioning and contingency.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34" customHeight="1">
      <x:c r="A35" s="1"/>
      <x:c r="B35" s="1"/>
      <x:c r="C35" s="2" t="str">
        <x:v>Installation production plan</x:v>
      </x:c>
      <x:c r="D35" s="9" t="str">
        <x:v>Not supplied</x:v>
      </x:c>
      <x:c r="E35" s="2" t="str">
        <x:v>Planning</x:v>
      </x:c>
      <x:c r="F35" s="5" t="str">
        <x:v>Downtime, rescheduling and unavoidable lost sales.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34" customHeight="1">
      <x:c r="A36" s="1"/>
      <x:c r="B36" s="1"/>
      <x:c r="C36" s="2" t="str">
        <x:v>Maintenance and energy validation</x:v>
      </x:c>
      <x:c r="D36" s="9" t="str">
        <x:v>Not supplied</x:v>
      </x:c>
      <x:c r="E36" s="2" t="str">
        <x:v>Engineering</x:v>
      </x:c>
      <x:c r="F36" s="5" t="str">
        <x:v>Service quote, software charges and metered energy impact.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1"/>
      <x:c r="B37" s="1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1"/>
      <x:c r="B38" s="1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30" customHeight="1">
      <x:c r="A39" s="1"/>
      <x:c r="B39" s="1"/>
      <x:c r="C39" s="5" t="str">
        <x:v>Trial method: compare matched products and batch sizes; measure kg input per kg acceptable product over baseline and trial runs.</x:v>
      </x:c>
      <x:c r="D39" s="5"/>
      <x:c r="E39" s="5"/>
      <x:c r="F39" s="5"/>
      <x:c r="G39" s="5"/>
      <x:c r="H39" s="5"/>
      <x:c r="I39" s="5"/>
      <x:c r="J39" s="5"/>
      <x:c r="K39" s="5"/>
      <x:c r="L39" s="2"/>
      <x:c r="M39" s="2"/>
      <x:c r="N39" s="2"/>
      <x:c r="O39" s="2"/>
      <x:c r="P39" s="2"/>
      <x:c r="Q39" s="2"/>
    </x:row>
    <x:row r="40" ht="30" customHeight="1">
      <x:c r="A40" s="1"/>
      <x:c r="B40" s="1"/>
      <x:c r="C40" s="5" t="str">
        <x:v>Record spills, off-spec batches, rework, ingredient use, energy and waste disposal. Use matched shift and product conditions.</x:v>
      </x:c>
      <x:c r="D40" s="5"/>
      <x:c r="E40" s="5"/>
      <x:c r="F40" s="5"/>
      <x:c r="G40" s="5"/>
      <x:c r="H40" s="5"/>
      <x:c r="I40" s="5"/>
      <x:c r="J40" s="5"/>
      <x:c r="K40" s="5"/>
      <x:c r="L40" s="2"/>
      <x:c r="M40" s="2"/>
      <x:c r="N40" s="2"/>
      <x:c r="O40" s="2"/>
      <x:c r="P40" s="2"/>
      <x:c r="Q40" s="2"/>
    </x:row>
    <x:row r="41" ht="30" customHeight="1">
      <x:c r="A41" s="1"/>
      <x:c r="B41" s="1"/>
      <x:c r="C41" s="5" t="str">
        <x:v>Do not multiply savings by reduced waste percentages. Value the avoided input mass at its delivered cost once.</x:v>
      </x:c>
      <x:c r="D41" s="5"/>
      <x:c r="E41" s="5"/>
      <x:c r="F41" s="5"/>
      <x:c r="G41" s="5"/>
      <x:c r="H41" s="5"/>
      <x:c r="I41" s="5"/>
      <x:c r="J41" s="5"/>
      <x:c r="K41" s="5"/>
      <x:c r="L41" s="2"/>
      <x:c r="M41" s="2"/>
      <x:c r="N41" s="2"/>
      <x:c r="O41" s="2"/>
      <x:c r="P41" s="2"/>
      <x:c r="Q41" s="2"/>
    </x:row>
    <x:row r="42" ht="30" customHeight="1">
      <x:c r="A42" s="1"/>
      <x:c r="B42" s="1"/>
      <x:c r="C42" s="5" t="str">
        <x:v>No purchase or implementation approval is implied by a positive model NPV.</x:v>
      </x:c>
      <x:c r="D42" s="5"/>
      <x:c r="E42" s="5"/>
      <x:c r="F42" s="5"/>
      <x:c r="G42" s="5"/>
      <x:c r="H42" s="5"/>
      <x:c r="I42" s="5"/>
      <x:c r="J42" s="5"/>
      <x:c r="K42" s="5"/>
      <x:c r="L42" s="2"/>
      <x:c r="M42" s="2"/>
      <x:c r="N42" s="2"/>
      <x:c r="O42" s="2"/>
      <x:c r="P42" s="2"/>
      <x:c r="Q42" s="2"/>
    </x:row>
    <x:row r="43" ht="22" customHeight="1">
      <x:c r="A43" s="1"/>
      <x:c r="B43" s="1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1"/>
      <x:c r="B44" s="1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1"/>
      <x:c r="B45" s="1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1"/>
      <x:c r="B46" s="1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1"/>
      <x:c r="B47" s="1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1"/>
      <x:c r="B48" s="1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1"/>
      <x:c r="B49" s="1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1"/>
      <x:c r="B50" s="1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1"/>
      <x:c r="B51" s="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1"/>
      <x:c r="B52" s="1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1"/>
      <x:c r="B53" s="1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1"/>
      <x:c r="B54" s="1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1"/>
      <x:c r="B55" s="1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1"/>
      <x:c r="B56" s="1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1"/>
      <x:c r="B57" s="1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1"/>
      <x:c r="B58" s="1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1"/>
      <x:c r="B59" s="1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1"/>
      <x:c r="B60" s="1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1"/>
      <x:c r="B61" s="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1"/>
      <x:c r="B62" s="1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1"/>
      <x:c r="B63" s="1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1"/>
      <x:c r="B64" s="1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1"/>
      <x:c r="B65" s="1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1"/>
      <x:c r="B66" s="1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1"/>
      <x:c r="B67" s="1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1"/>
      <x:c r="B68" s="1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1"/>
      <x:c r="B69" s="1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1"/>
      <x:c r="B70" s="1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1"/>
      <x:c r="B71" s="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1"/>
      <x:c r="B72" s="1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1"/>
      <x:c r="B73" s="1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1"/>
      <x:c r="B74" s="1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1"/>
      <x:c r="B75" s="1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1"/>
      <x:c r="B76" s="1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1"/>
      <x:c r="B77" s="1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1"/>
      <x:c r="B78" s="1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1"/>
      <x:c r="B79" s="1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1"/>
      <x:c r="B80" s="1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</x:sheetData>
  <x:mergeCells>
    <x:mergeCell ref="C4:K4"/>
    <x:mergeCell ref="C7:K7"/>
    <x:mergeCell ref="C8:K8"/>
    <x:mergeCell ref="C9:K9"/>
    <x:mergeCell ref="C12:K12"/>
    <x:mergeCell ref="C13:K13"/>
    <x:mergeCell ref="C14:K14"/>
    <x:mergeCell ref="C18:K18"/>
    <x:mergeCell ref="C19:K19"/>
    <x:mergeCell ref="C20:K20"/>
    <x:mergeCell ref="C24:K24"/>
    <x:mergeCell ref="C25:K25"/>
    <x:mergeCell ref="C26:K26"/>
    <x:mergeCell ref="C39:K39"/>
    <x:mergeCell ref="C40:K40"/>
    <x:mergeCell ref="C41:K41"/>
    <x:mergeCell ref="C42:K42"/>
  </x:mergeCells>
  <x:dataValidations count="1">
    <x:dataValidation type="list" sqref="D31:D36">
      <x:formula1>"Not supplied,Verified"</x:formula1>
    </x:dataValidation>
  </x:dataValidations>
  <x:pageMargins left="0.7" right="0.7" top="0.75" bottom="0.75" header="0.3" footer="0.3"/>
</x:worksheet>
</file>